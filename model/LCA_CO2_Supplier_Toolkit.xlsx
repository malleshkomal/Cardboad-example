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KPI_Dashboard" sheetId="2" state="visible" r:id="rId4"/>
    <sheet name="Company_Inputs" sheetId="3" state="visible" r:id="rId5"/>
    <sheet name="Emission_Factors" sheetId="4" state="visible" r:id="rId6"/>
    <sheet name="PCF_Board" sheetId="5" state="visible" r:id="rId7"/>
    <sheet name="PCF_FoldingCarton" sheetId="6" state="visible" r:id="rId8"/>
    <sheet name="PCF_GypsumBoard" sheetId="7" state="visible" r:id="rId9"/>
    <sheet name="Supplier_Register" sheetId="8" state="visible" r:id="rId10"/>
    <sheet name="GHG_Inventory" sheetId="9" state="visible" r:id="rId11"/>
    <sheet name="Supplier_Scorecard" sheetId="10" state="visible" r:id="rId12"/>
    <sheet name="Decarbonisation" sheetId="11" state="visible" r:id="rId13"/>
    <sheet name="Supplier_Survey" sheetId="12" state="visible" r:id="rId14"/>
    <sheet name="Training_Plan"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<sst xmlns="http://schemas.openxmlformats.org/spreadsheetml/2006/main" count="1434" uniqueCount="790">
  <si>
    <t xml:space="preserve">CircularFibre Group (fictional) – LCA / PCF, CO₂ Accounting &amp; Sustainable Procurement Toolkit</t>
  </si>
  <si>
    <t xml:space="preserve">Portfolio model: waste paper recycling → recycled cartonboard → folding cartons &amp; gypsum board liners. All data illustrative.</t>
  </si>
  <si>
    <t xml:space="preserve">PURPOSE</t>
  </si>
  <si>
    <t xml:space="preserve">Integrated Excel toolkit covering the core tasks of a Sustainable Procurement / Carbon Accounting role: product carbon footprints (PCF/LCA), corporate GHG inventory (Scope 1-2-3), supplier CO₂ data collection &amp; validation, ESG supplier scorecards, KPIs, decarbonisation levers, supplier survey and training plan.</t>
  </si>
  <si>
    <t xml:space="preserve">BUSINESS MODEL</t>
  </si>
  <si>
    <t xml:space="preserve">Circular value chain: (1) recovered paper (RCP) is collected and sorted, (2) pulped and converted into 100% recycled cartonboard in own board mills, (3) board is converted into folding cartons in own converting plants or sold externally, (4) part of the board is used as liner paper in own gypsum board plants. Converting trim waste (~12%) is returned to the mill as RCP (closed loop).</t>
  </si>
  <si>
    <t xml:space="preserve">STANDARDS APPLIED</t>
  </si>
  <si>
    <t xml:space="preserve">ISO 14040/14044 (LCA framework), ISO 14067 (PCF), GHG Protocol Corporate Standard + Scope 3 Standard, GHG Protocol Product Standard, WBCSD PACT Pathfinder Framework v3 (data quality ratings, PCF exchange), CEPI Carbon Footprint Framework for paper &amp; board, EN 15804 (construction products – gypsum board EPD), EcoVadis methodology (4 themes).</t>
  </si>
  <si>
    <t xml:space="preserve">SYSTEM BOUNDARY</t>
  </si>
  <si>
    <t xml:space="preserve">PCFs: cradle-to-gate (A1-A3), fossil GHG in kg CO₂e, GWP100 (IPCC AR6). Recovered paper enters burden-free (cut-off / recycled-content approach) – only collection, sorting and transport are allocated. Biogenic carbon stored in the product is reported separately as a memo item (not netted). Folding carton additionally shows an optional cradle-to-customer value.</t>
  </si>
  <si>
    <t xml:space="preserve">SHEET MAP</t>
  </si>
  <si>
    <t xml:space="preserve">Company_Inputs → production volumes &amp; activity data | Emission_Factors → EF library with sources | PCF_Board / PCF_FoldingCarton / PCF_GypsumBoard → product footprints | Supplier_Register → supplier volumes, supplier PCFs, PACT data quality, primary-vs-secondary logic | GHG_Inventory → Scope 1/2/3 by category | Supplier_Scorecard → weighted ESG scoring &amp; risk prioritisation | Decarbonisation → levers, reduction potential, abatement cost | KPI_Dashboard → procurement &amp; climate KPIs with charts | Supplier_Survey → questionnaire template | Training_Plan → internal awareness programme</t>
  </si>
  <si>
    <t xml:space="preserve">COLOUR LEGEND</t>
  </si>
  <si>
    <t xml:space="preserve">Blue text on yellow fill = input / assumption (edit these) · Black = formula (do not overwrite) · Green = link to another sheet · Grey rows = totals.</t>
  </si>
  <si>
    <t xml:space="preserve">HOW TO UPDATE</t>
  </si>
  <si>
    <t xml:space="preserve">1) Update production volumes in Company_Inputs. 2) Replace illustrative factors in Emission_Factors with licensed data (ecoinvent, GaBi/Sphera, UBA, DESNZ, AIB residual mix). 3) Enter supplier volumes, supplier-specific PCFs and the 5 PACT data-quality indicators in Supplier_Register – the model automatically uses supplier data if DQR ≤ threshold, otherwise falls back to secondary data. 4) Enter ESG assessment results (EcoVadis, survey) in Supplier_Scorecard. 5) Review KPI_Dashboard and Decarbonisation.</t>
  </si>
  <si>
    <t xml:space="preserve">DATA QUALITY LOGIC</t>
  </si>
  <si>
    <t xml:space="preserve">PACT Data Quality Rating (DQR) = average of technological, geographical, temporal representativeness, completeness and reliability (1 = very good … 5 = very poor). Supplier PCFs with DQR above the acceptance threshold are flagged and replaced by secondary EFs until the supplier improves its data.</t>
  </si>
  <si>
    <t xml:space="preserve">LIMITATIONS</t>
  </si>
  <si>
    <t xml:space="preserve">Company, suppliers and all numbers are FICTIONAL and for demonstration only. Emission factors are rounded, indicative values typical of published sources – they are not verified and must be replaced before any external use (CSRD/ESRS E1, customer PCF requests, EcoVadis).</t>
  </si>
  <si>
    <t xml:space="preserve">KPI Dashboard – Sustainable Procurement &amp; Carbon Accounting</t>
  </si>
  <si>
    <t xml:space="preserve">#</t>
  </si>
  <si>
    <t xml:space="preserve">KPI</t>
  </si>
  <si>
    <t xml:space="preserve">Actual</t>
  </si>
  <si>
    <t xml:space="preserve">Unit</t>
  </si>
  <si>
    <t xml:space="preserve">Target</t>
  </si>
  <si>
    <t xml:space="preserve">Status</t>
  </si>
  <si>
    <t xml:space="preserve">Definition / purpose</t>
  </si>
  <si>
    <t xml:space="preserve">Climate</t>
  </si>
  <si>
    <t xml:space="preserve">Total GHG emissions (S1 + S2 MB + S3)</t>
  </si>
  <si>
    <t xml:space="preserve">t CO₂e</t>
  </si>
  <si>
    <t xml:space="preserve">–</t>
  </si>
  <si>
    <t xml:space="preserve">Monitor</t>
  </si>
  <si>
    <t xml:space="preserve">Corporate inventory, GHG Protocol</t>
  </si>
  <si>
    <t xml:space="preserve">Scope 1</t>
  </si>
  <si>
    <t xml:space="preserve">Scope 2 (market-based)</t>
  </si>
  <si>
    <t xml:space="preserve">Location-based in GHG_Inventory</t>
  </si>
  <si>
    <t xml:space="preserve">Scope 3</t>
  </si>
  <si>
    <t xml:space="preserve">Scope 3 share of total</t>
  </si>
  <si>
    <t xml:space="preserve">%</t>
  </si>
  <si>
    <t xml:space="preserve">Shows relevance of supplier engagement</t>
  </si>
  <si>
    <t xml:space="preserve">Product Carbon Footprints</t>
  </si>
  <si>
    <t xml:space="preserve">PCF recycled cartonboard</t>
  </si>
  <si>
    <t xml:space="preserve">kg CO₂e/t</t>
  </si>
  <si>
    <t xml:space="preserve">Cradle-to-gate, fossil</t>
  </si>
  <si>
    <t xml:space="preserve">PCF folding carton</t>
  </si>
  <si>
    <t xml:space="preserve">Cradle-to-gate</t>
  </si>
  <si>
    <t xml:space="preserve">PCF gypsum board</t>
  </si>
  <si>
    <t xml:space="preserve">kg CO₂e/m²</t>
  </si>
  <si>
    <t xml:space="preserve">A1-A3, EN 15804</t>
  </si>
  <si>
    <t xml:space="preserve">Supplier data &amp; procurement</t>
  </si>
  <si>
    <t xml:space="preserve">Cat 1 emissions based on supplier-specific data</t>
  </si>
  <si>
    <t xml:space="preserve">Primary data share (SBTi / PACT)</t>
  </si>
  <si>
    <t xml:space="preserve">Suppliers (by spend) with EcoVadis assessment</t>
  </si>
  <si>
    <t xml:space="preserve">Rating coverage</t>
  </si>
  <si>
    <t xml:space="preserve">Spend with A/B-rated suppliers</t>
  </si>
  <si>
    <t xml:space="preserve">Scorecard result</t>
  </si>
  <si>
    <t xml:space="preserve">Cat 1 emissions with suppliers having SBTi targets</t>
  </si>
  <si>
    <t xml:space="preserve">SBTi supplier engagement target</t>
  </si>
  <si>
    <t xml:space="preserve">Average supplier ESG score (spend-weighted)</t>
  </si>
  <si>
    <t xml:space="preserve">pts</t>
  </si>
  <si>
    <t xml:space="preserve">0-100</t>
  </si>
  <si>
    <t xml:space="preserve">Average DQR of supplier PCFs</t>
  </si>
  <si>
    <t xml:space="preserve">1-5</t>
  </si>
  <si>
    <t xml:space="preserve">PACT data quality rating</t>
  </si>
  <si>
    <t xml:space="preserve">Suppliers rated D – escalation needed</t>
  </si>
  <si>
    <t xml:space="preserve">Circularity &amp; data quality</t>
  </si>
  <si>
    <t xml:space="preserve">Recycled fibre share in board</t>
  </si>
  <si>
    <t xml:space="preserve">100% RCP (incl. internal trim)</t>
  </si>
  <si>
    <t xml:space="preserve">Internal trim recycled in closed loop</t>
  </si>
  <si>
    <t xml:space="preserve">t</t>
  </si>
  <si>
    <t xml:space="preserve">FC trim returned to own mill</t>
  </si>
  <si>
    <t xml:space="preserve">Recycled gypsum share</t>
  </si>
  <si>
    <t xml:space="preserve">Substitutes natural &amp; FGD gypsum</t>
  </si>
  <si>
    <t xml:space="preserve">Mass balance deviation RCP (register vs. need)</t>
  </si>
  <si>
    <t xml:space="preserve">Data validation check</t>
  </si>
  <si>
    <t xml:space="preserve">Decarbonisation</t>
  </si>
  <si>
    <t xml:space="preserve">Identified reduction potential</t>
  </si>
  <si>
    <t xml:space="preserve">t CO₂e/yr</t>
  </si>
  <si>
    <t xml:space="preserve">Sum of levers</t>
  </si>
  <si>
    <t xml:space="preserve">… as % of total inventory</t>
  </si>
  <si>
    <t xml:space="preserve">Emission split</t>
  </si>
  <si>
    <t xml:space="preserve">Scope</t>
  </si>
  <si>
    <t xml:space="preserve">Scope 2 (MB)</t>
  </si>
  <si>
    <t xml:space="preserve">Company Inputs – Reporting Year Activity Data</t>
  </si>
  <si>
    <t xml:space="preserve">Edit blue cells. Volumes are fictional but internally consistent (mass balance).</t>
  </si>
  <si>
    <t xml:space="preserve">Parameter</t>
  </si>
  <si>
    <t xml:space="preserve">Value</t>
  </si>
  <si>
    <t xml:space="preserve">Source / comment</t>
  </si>
  <si>
    <t xml:space="preserve">Production</t>
  </si>
  <si>
    <t xml:space="preserve">Reporting year</t>
  </si>
  <si>
    <t xml:space="preserve">2025</t>
  </si>
  <si>
    <t xml:space="preserve">Text format</t>
  </si>
  <si>
    <t xml:space="preserve">Cartonboard sold to external converters</t>
  </si>
  <si>
    <t xml:space="preserve">Sales statistics (fictional)</t>
  </si>
  <si>
    <t xml:space="preserve">Folding carton output</t>
  </si>
  <si>
    <t xml:space="preserve">Converting plants output (fictional)</t>
  </si>
  <si>
    <t xml:space="preserve">Gypsum board output</t>
  </si>
  <si>
    <t xml:space="preserve">1,000 m²</t>
  </si>
  <si>
    <t xml:space="preserve">i.e. 45 million m² (fictional)</t>
  </si>
  <si>
    <t xml:space="preserve">Gypsum board mass (12.5 mm)</t>
  </si>
  <si>
    <t xml:space="preserve">kg/m²</t>
  </si>
  <si>
    <t xml:space="preserve">Typical standard board; product data sheet</t>
  </si>
  <si>
    <t xml:space="preserve">Board consumed by own folding carton plants</t>
  </si>
  <si>
    <t xml:space="preserve">FC output × board input per t (PCF_FoldingCarton)</t>
  </si>
  <si>
    <t xml:space="preserve">Liner board consumed by own gypsum board plants</t>
  </si>
  <si>
    <t xml:space="preserve">Gypsum output × liner kg per 1,000 m²</t>
  </si>
  <si>
    <t xml:space="preserve">Total cartonboard production</t>
  </si>
  <si>
    <t xml:space="preserve">Mass balance</t>
  </si>
  <si>
    <t xml:space="preserve">Recovered paper mass balance (circularity)</t>
  </si>
  <si>
    <t xml:space="preserve">Gross recovered paper input</t>
  </si>
  <si>
    <t xml:space="preserve">Board production × RCP input ratio</t>
  </si>
  <si>
    <t xml:space="preserve">Internal trim returned from FC plants (closed loop)</t>
  </si>
  <si>
    <t xml:space="preserve">Board input − FC output</t>
  </si>
  <si>
    <t xml:space="preserve">External recovered paper to be purchased</t>
  </si>
  <si>
    <t xml:space="preserve">Must reconcile with Supplier_Register</t>
  </si>
  <si>
    <t xml:space="preserve">Raw gypsum input (all sources)</t>
  </si>
  <si>
    <t xml:space="preserve">Gypsum output × gypsum kg per 1,000 m²</t>
  </si>
  <si>
    <t xml:space="preserve">Other activity data</t>
  </si>
  <si>
    <t xml:space="preserve">Diesel – forklifts &amp; yard vehicles</t>
  </si>
  <si>
    <t xml:space="preserve">l</t>
  </si>
  <si>
    <t xml:space="preserve">Fuel cards / tank records</t>
  </si>
  <si>
    <t xml:space="preserve">Share of electricity covered by GoO / PPA</t>
  </si>
  <si>
    <t xml:space="preserve">Energy procurement contracts</t>
  </si>
  <si>
    <t xml:space="preserve">Indirect procurement spend (services, MRO, IT)</t>
  </si>
  <si>
    <t xml:space="preserve">EUR</t>
  </si>
  <si>
    <t xml:space="preserve">ERP spend cube, excl. direct materials</t>
  </si>
  <si>
    <t xml:space="preserve">Capital expenditure</t>
  </si>
  <si>
    <t xml:space="preserve">Fixed asset additions</t>
  </si>
  <si>
    <t xml:space="preserve">Business travel</t>
  </si>
  <si>
    <t xml:space="preserve">pkm</t>
  </si>
  <si>
    <t xml:space="preserve">Travel agency report</t>
  </si>
  <si>
    <t xml:space="preserve">Employees</t>
  </si>
  <si>
    <t xml:space="preserve">FTE</t>
  </si>
  <si>
    <t xml:space="preserve">HR</t>
  </si>
  <si>
    <t xml:space="preserve">Average one-way commute</t>
  </si>
  <si>
    <t xml:space="preserve">km</t>
  </si>
  <si>
    <t xml:space="preserve">Employee mobility survey</t>
  </si>
  <si>
    <t xml:space="preserve">Working days per year</t>
  </si>
  <si>
    <t xml:space="preserve">days</t>
  </si>
  <si>
    <t xml:space="preserve">Avg distance – external board collected by customers</t>
  </si>
  <si>
    <t xml:space="preserve">Logistics (Cat 9: customer-arranged)</t>
  </si>
  <si>
    <t xml:space="preserve">Avg distance – own outbound deliveries (FC &amp; gypsum board)</t>
  </si>
  <si>
    <t xml:space="preserve">Logistics (Cat 4: paid by company)</t>
  </si>
  <si>
    <t xml:space="preserve">Emission Factor Library (kg CO₂e per unit, GWP100 AR6)</t>
  </si>
  <si>
    <t xml:space="preserve">Indicative values – replace with licensed / verified data before external reporting.</t>
  </si>
  <si>
    <t xml:space="preserve">EF ID</t>
  </si>
  <si>
    <t xml:space="preserve">Activity / material</t>
  </si>
  <si>
    <t xml:space="preserve">kg CO₂e / unit</t>
  </si>
  <si>
    <t xml:space="preserve">Scope / category</t>
  </si>
  <si>
    <t xml:space="preserve">Source (indicative)</t>
  </si>
  <si>
    <t xml:space="preserve">Notes</t>
  </si>
  <si>
    <t xml:space="preserve">EF01</t>
  </si>
  <si>
    <t xml:space="preserve">Natural gas – combustion</t>
  </si>
  <si>
    <t xml:space="preserve">kWh</t>
  </si>
  <si>
    <t xml:space="preserve">UBA CO₂ emission factors (Hi basis)</t>
  </si>
  <si>
    <t xml:space="preserve">Combustion only; upstream in EF02</t>
  </si>
  <si>
    <t xml:space="preserve">EF02</t>
  </si>
  <si>
    <t xml:space="preserve">Natural gas – upstream (WTT)</t>
  </si>
  <si>
    <t xml:space="preserve">Scope 3 Cat 3</t>
  </si>
  <si>
    <t xml:space="preserve">DESNZ 2024 WTT factors (approx.)</t>
  </si>
  <si>
    <t xml:space="preserve">EF03</t>
  </si>
  <si>
    <t xml:space="preserve">Grid electricity DE – location-based</t>
  </si>
  <si>
    <t xml:space="preserve">Scope 2 LB</t>
  </si>
  <si>
    <t xml:space="preserve">UBA electricity mix DE (provisional)</t>
  </si>
  <si>
    <t xml:space="preserve">EF04</t>
  </si>
  <si>
    <t xml:space="preserve">Electricity – upstream &amp; T&amp;D losses</t>
  </si>
  <si>
    <t xml:space="preserve">DESNZ 2024 WTT + T&amp;D (approx.)</t>
  </si>
  <si>
    <t xml:space="preserve">EF05</t>
  </si>
  <si>
    <t xml:space="preserve">Renewable electricity (GoO / PPA)</t>
  </si>
  <si>
    <t xml:space="preserve">Scope 2 MB</t>
  </si>
  <si>
    <t xml:space="preserve">GHG Protocol Scope 2 Guidance</t>
  </si>
  <si>
    <t xml:space="preserve">Market-based, contractual instrument</t>
  </si>
  <si>
    <t xml:space="preserve">EF06</t>
  </si>
  <si>
    <t xml:space="preserve">Road freight – articulated HGV (avg laden)</t>
  </si>
  <si>
    <t xml:space="preserve">tkm</t>
  </si>
  <si>
    <t xml:space="preserve">Scope 3 Cat 4/9</t>
  </si>
  <si>
    <t xml:space="preserve">DESNZ 2024 freighting goods</t>
  </si>
  <si>
    <t xml:space="preserve">EF07</t>
  </si>
  <si>
    <t xml:space="preserve">Rail freight (electric/diesel mix)</t>
  </si>
  <si>
    <t xml:space="preserve">Scope 3 Cat 4</t>
  </si>
  <si>
    <t xml:space="preserve">DESNZ 2024 / GLEC Framework</t>
  </si>
  <si>
    <t xml:space="preserve">EF08</t>
  </si>
  <si>
    <t xml:space="preserve">Recovered paper – collection &amp; sorting</t>
  </si>
  <si>
    <t xml:space="preserve">kg</t>
  </si>
  <si>
    <t xml:space="preserve">Scope 3 Cat 1</t>
  </si>
  <si>
    <t xml:space="preserve">CEPI framework, cut-off approach (approx.)</t>
  </si>
  <si>
    <t xml:space="preserve">RCP burden-free; only collection/sorting/baling</t>
  </si>
  <si>
    <t xml:space="preserve">EF09</t>
  </si>
  <si>
    <t xml:space="preserve">Native starch (maize/wheat)</t>
  </si>
  <si>
    <t xml:space="preserve">ecoinvent-type average (approx.)</t>
  </si>
  <si>
    <t xml:space="preserve">EF10</t>
  </si>
  <si>
    <t xml:space="preserve">Calcium carbonate filler (GCC)</t>
  </si>
  <si>
    <t xml:space="preserve">EF11</t>
  </si>
  <si>
    <t xml:space="preserve">Process chemicals – generic</t>
  </si>
  <si>
    <t xml:space="preserve">Conservative proxy</t>
  </si>
  <si>
    <t xml:space="preserve">Sizing, retention, biocides</t>
  </si>
  <si>
    <t xml:space="preserve">EF12</t>
  </si>
  <si>
    <t xml:space="preserve">Offset printing ink</t>
  </si>
  <si>
    <t xml:space="preserve">Industry average (approx.)</t>
  </si>
  <si>
    <t xml:space="preserve">EF13</t>
  </si>
  <si>
    <t xml:space="preserve">Overprint varnish</t>
  </si>
  <si>
    <t xml:space="preserve">EF14</t>
  </si>
  <si>
    <t xml:space="preserve">Dispersion adhesive</t>
  </si>
  <si>
    <t xml:space="preserve">EF15</t>
  </si>
  <si>
    <t xml:space="preserve">LDPE stretch film</t>
  </si>
  <si>
    <t xml:space="preserve">PlasticsEurope eco-profile (approx.)</t>
  </si>
  <si>
    <t xml:space="preserve">EF16</t>
  </si>
  <si>
    <t xml:space="preserve">Natural gypsum (quarried)</t>
  </si>
  <si>
    <t xml:space="preserve">EPD-type average (approx.)</t>
  </si>
  <si>
    <t xml:space="preserve">EF17</t>
  </si>
  <si>
    <t xml:space="preserve">FGD gypsum (by-product of coal power)</t>
  </si>
  <si>
    <t xml:space="preserve">By-product, economic allocation ≈ 0</t>
  </si>
  <si>
    <t xml:space="preserve">Supply declining with coal phase-out</t>
  </si>
  <si>
    <t xml:space="preserve">EF18</t>
  </si>
  <si>
    <t xml:space="preserve">Recycled gypsum (processing)</t>
  </si>
  <si>
    <t xml:space="preserve">Avoids landfill &amp; primary extraction</t>
  </si>
  <si>
    <t xml:space="preserve">EF19</t>
  </si>
  <si>
    <t xml:space="preserve">Glass fibre</t>
  </si>
  <si>
    <t xml:space="preserve">EF20</t>
  </si>
  <si>
    <t xml:space="preserve">Gypsum board additives / foaming agent</t>
  </si>
  <si>
    <t xml:space="preserve">EF21</t>
  </si>
  <si>
    <t xml:space="preserve">Water supply &amp; wastewater treatment</t>
  </si>
  <si>
    <t xml:space="preserve">m³</t>
  </si>
  <si>
    <t xml:space="preserve">Scope 3 Cat 5</t>
  </si>
  <si>
    <t xml:space="preserve">Utility average (approx.)</t>
  </si>
  <si>
    <t xml:space="preserve">EF22</t>
  </si>
  <si>
    <t xml:space="preserve">Rejects to incineration (fossil share)</t>
  </si>
  <si>
    <t xml:space="preserve">Waste incineration, plastics fraction</t>
  </si>
  <si>
    <t xml:space="preserve">Pulper rejects: plastics, metals</t>
  </si>
  <si>
    <t xml:space="preserve">EF23</t>
  </si>
  <si>
    <t xml:space="preserve">Indirect procurement – spend-based</t>
  </si>
  <si>
    <t xml:space="preserve">EEIO (EXIOBASE-type) average</t>
  </si>
  <si>
    <t xml:space="preserve">Use only as fallback</t>
  </si>
  <si>
    <t xml:space="preserve">EF24</t>
  </si>
  <si>
    <t xml:space="preserve">Capital goods – spend-based</t>
  </si>
  <si>
    <t xml:space="preserve">Scope 3 Cat 2</t>
  </si>
  <si>
    <t xml:space="preserve">EF25</t>
  </si>
  <si>
    <t xml:space="preserve">Business travel – average (air/rail/car)</t>
  </si>
  <si>
    <t xml:space="preserve">Scope 3 Cat 6</t>
  </si>
  <si>
    <t xml:space="preserve">DESNZ 2024 (blended)</t>
  </si>
  <si>
    <t xml:space="preserve">EF26</t>
  </si>
  <si>
    <t xml:space="preserve">Employee commuting – average car</t>
  </si>
  <si>
    <t xml:space="preserve">Scope 3 Cat 7</t>
  </si>
  <si>
    <t xml:space="preserve">DESNZ 2024</t>
  </si>
  <si>
    <t xml:space="preserve">EF27</t>
  </si>
  <si>
    <t xml:space="preserve">Paperboard end-of-life (fossil, DE mix)</t>
  </si>
  <si>
    <t xml:space="preserve">Scope 3 Cat 12</t>
  </si>
  <si>
    <t xml:space="preserve">Recycling/incineration mix (approx.)</t>
  </si>
  <si>
    <t xml:space="preserve">Biogenic CO₂ excluded</t>
  </si>
  <si>
    <t xml:space="preserve">EF28</t>
  </si>
  <si>
    <t xml:space="preserve">Gypsum board end-of-life (landfill/recycling)</t>
  </si>
  <si>
    <t xml:space="preserve">EN 15804 C-modules (approx.)</t>
  </si>
  <si>
    <t xml:space="preserve">EF29</t>
  </si>
  <si>
    <t xml:space="preserve">Diesel – combustion (mobile)</t>
  </si>
  <si>
    <t xml:space="preserve">UBA / DESNZ 2024</t>
  </si>
  <si>
    <t xml:space="preserve">Forklifts, yard vehicles</t>
  </si>
  <si>
    <t xml:space="preserve">EF30</t>
  </si>
  <si>
    <t xml:space="preserve">Diesel – upstream (WTT)</t>
  </si>
  <si>
    <t xml:space="preserve">DESNZ 2024 WTT</t>
  </si>
  <si>
    <t xml:space="preserve">EF31</t>
  </si>
  <si>
    <t xml:space="preserve">Residual mix DE – market-based</t>
  </si>
  <si>
    <t xml:space="preserve">AIB European Residual Mix (approx.)</t>
  </si>
  <si>
    <t xml:space="preserve">EF32</t>
  </si>
  <si>
    <t xml:space="preserve">Biomethane – combustion + upstream (fossil)</t>
  </si>
  <si>
    <t xml:space="preserve">Indicative; biogenic CO₂ excluded</t>
  </si>
  <si>
    <t xml:space="preserve">Used in Decarbonisation</t>
  </si>
  <si>
    <t xml:space="preserve">PCF – 100% Recycled Cartonboard (FU: 1 t, cradle-to-gate)</t>
  </si>
  <si>
    <t xml:space="preserve">ISO 14067 / CEPI framework · cut-off approach for recovered paper · fossil GHG only, biogenic carbon as memo item</t>
  </si>
  <si>
    <t xml:space="preserve">Parameters</t>
  </si>
  <si>
    <t xml:space="preserve">Recovered paper input ratio (t RCP / t board)</t>
  </si>
  <si>
    <t xml:space="preserve">t/t</t>
  </si>
  <si>
    <t xml:space="preserve">Mill yield incl. moisture &amp; rejects; production data</t>
  </si>
  <si>
    <t xml:space="preserve">Avg RCP transport distance to mill</t>
  </si>
  <si>
    <t xml:space="preserve">Weighted from Supplier_Register logistics data</t>
  </si>
  <si>
    <t xml:space="preserve">Biogenic carbon content of board (kg C / kg)</t>
  </si>
  <si>
    <t xml:space="preserve">kg/kg</t>
  </si>
  <si>
    <t xml:space="preserve">Typical fibre carbon content (memo only)</t>
  </si>
  <si>
    <t xml:space="preserve">Stage</t>
  </si>
  <si>
    <t xml:space="preserve">Input / process</t>
  </si>
  <si>
    <t xml:space="preserve">Quantity per FU</t>
  </si>
  <si>
    <t xml:space="preserve">EF (kg CO₂e / unit)</t>
  </si>
  <si>
    <t xml:space="preserve">kg CO₂e per FU</t>
  </si>
  <si>
    <t xml:space="preserve">Share</t>
  </si>
  <si>
    <t xml:space="preserve">Company scope</t>
  </si>
  <si>
    <t xml:space="preserve">Data source / quality note</t>
  </si>
  <si>
    <t xml:space="preserve">A1 Raw materials</t>
  </si>
  <si>
    <t xml:space="preserve">Recovered paper (collection &amp; sorting)</t>
  </si>
  <si>
    <t xml:space="preserve">Burden-free fibre; secondary EF – request supplier data</t>
  </si>
  <si>
    <t xml:space="preserve">Native starch (surface &amp; wet-end)</t>
  </si>
  <si>
    <t xml:space="preserve">Supplier PCF available (see register)</t>
  </si>
  <si>
    <t xml:space="preserve">Calcium carbonate filler</t>
  </si>
  <si>
    <t xml:space="preserve">Process chemicals</t>
  </si>
  <si>
    <t xml:space="preserve">Proxy – data gap</t>
  </si>
  <si>
    <t xml:space="preserve">A2 Transport</t>
  </si>
  <si>
    <t xml:space="preserve">Inbound transport recovered paper</t>
  </si>
  <si>
    <t xml:space="preserve">t × km</t>
  </si>
  <si>
    <t xml:space="preserve">A3 Manufacturing</t>
  </si>
  <si>
    <t xml:space="preserve">Natural gas – steam &amp; drying (CHP/boiler)</t>
  </si>
  <si>
    <t xml:space="preserve">Metered, mill energy management (ISO 50001)</t>
  </si>
  <si>
    <t xml:space="preserve">Natural gas – upstream</t>
  </si>
  <si>
    <t xml:space="preserve">Grid electricity (location-based)</t>
  </si>
  <si>
    <t xml:space="preserve">Scope 2</t>
  </si>
  <si>
    <t xml:space="preserve">Metered; market-based see GHG_Inventory</t>
  </si>
  <si>
    <t xml:space="preserve">Electricity – upstream &amp; losses</t>
  </si>
  <si>
    <t xml:space="preserve">Water &amp; wastewater treatment</t>
  </si>
  <si>
    <t xml:space="preserve">Pulper rejects to incineration</t>
  </si>
  <si>
    <t xml:space="preserve">Plastics/metal fraction from RCP</t>
  </si>
  <si>
    <t xml:space="preserve">TOTAL PCF (kg CO₂e / t board)</t>
  </si>
  <si>
    <t xml:space="preserve">Memo: biogenic carbon stored</t>
  </si>
  <si>
    <t xml:space="preserve">kg CO₂ removed &amp; stored in 1 t board (ISO 14067 §7.2, reported separately)</t>
  </si>
  <si>
    <t xml:space="preserve">PCF per kg</t>
  </si>
  <si>
    <t xml:space="preserve">kg CO₂e / kg board (used downstream in FC &amp; gypsum board)</t>
  </si>
  <si>
    <t xml:space="preserve">Hotspot summary by life-cycle stage</t>
  </si>
  <si>
    <t xml:space="preserve">kg CO₂e</t>
  </si>
  <si>
    <t xml:space="preserve">PCF – Printed Folding Carton (FU: 1 t, cradle-to-gate + optional distribution)</t>
  </si>
  <si>
    <t xml:space="preserve">Board input from own mill (linked to PCF_Board) · trim waste returned to mill as RCP (closed loop, cut-off)</t>
  </si>
  <si>
    <t xml:space="preserve">Trim / die-cut waste rate (of board input)</t>
  </si>
  <si>
    <t xml:space="preserve">Converting plant waste statistics</t>
  </si>
  <si>
    <t xml:space="preserve">Board transport mill → converting plant</t>
  </si>
  <si>
    <t xml:space="preserve">Internal logistics</t>
  </si>
  <si>
    <t xml:space="preserve">PCF recycled cartonboard (kg CO₂e/kg)</t>
  </si>
  <si>
    <t xml:space="preserve">Link to PCF_Board</t>
  </si>
  <si>
    <t xml:space="preserve">Recycled cartonboard (own mill)</t>
  </si>
  <si>
    <t xml:space="preserve">link</t>
  </si>
  <si>
    <t xml:space="preserve">Scope 1/2/3 (internal)</t>
  </si>
  <si>
    <t xml:space="preserve">Primary data – own mill PCF</t>
  </si>
  <si>
    <t xml:space="preserve">Offset printing inks</t>
  </si>
  <si>
    <t xml:space="preserve">Supplier PCF available</t>
  </si>
  <si>
    <t xml:space="preserve">Dispersion adhesive (gluing)</t>
  </si>
  <si>
    <t xml:space="preserve">Packaging – LDPE stretch film</t>
  </si>
  <si>
    <t xml:space="preserve">Board transport mill → plant</t>
  </si>
  <si>
    <t xml:space="preserve">Natural gas – heating &amp; ink drying</t>
  </si>
  <si>
    <t xml:space="preserve">Metered</t>
  </si>
  <si>
    <t xml:space="preserve">Electricity – printing, die-cutting, gluing</t>
  </si>
  <si>
    <t xml:space="preserve">Trim waste → own mill as RCP (closed loop)</t>
  </si>
  <si>
    <t xml:space="preserve">Only sorting/baling allocated (cut-off)</t>
  </si>
  <si>
    <t xml:space="preserve">PCF CRADLE-TO-GATE (kg CO₂e / t)</t>
  </si>
  <si>
    <t xml:space="preserve">Optional A4</t>
  </si>
  <si>
    <t xml:space="preserve">Distribution to customer (1 t × avg outbound distance)</t>
  </si>
  <si>
    <t xml:space="preserve">PCF CRADLE-TO-CUSTOMER</t>
  </si>
  <si>
    <t xml:space="preserve">Memo: biogenic carbon</t>
  </si>
  <si>
    <t xml:space="preserve">kg CO₂ stored in 1 t carton</t>
  </si>
  <si>
    <t xml:space="preserve">PCF – Gypsum Plasterboard 12.5 mm (calculated per 1,000 m², declared per m²)</t>
  </si>
  <si>
    <t xml:space="preserve">EN 15804 modules A1-A3 · liner paper from own recycled board mill (linked to PCF_Board)</t>
  </si>
  <si>
    <t xml:space="preserve">Raw gypsum input (dihydrate) per 1,000 m²</t>
  </si>
  <si>
    <t xml:space="preserve">Recipe; water of crystallisation released in calcination</t>
  </si>
  <si>
    <t xml:space="preserve">Share natural gypsum</t>
  </si>
  <si>
    <t xml:space="preserve">Procurement mix</t>
  </si>
  <si>
    <t xml:space="preserve">Share FGD gypsum</t>
  </si>
  <si>
    <t xml:space="preserve">Procurement mix – declining (coal exit)</t>
  </si>
  <si>
    <t xml:space="preserve">Share recycled gypsum</t>
  </si>
  <si>
    <t xml:space="preserve">Remainder</t>
  </si>
  <si>
    <t xml:space="preserve">Avg gypsum transport distance</t>
  </si>
  <si>
    <t xml:space="preserve">Quarry / power plant / recycler</t>
  </si>
  <si>
    <t xml:space="preserve">Natural gypsum</t>
  </si>
  <si>
    <t xml:space="preserve">FGD gypsum</t>
  </si>
  <si>
    <t xml:space="preserve">Recycled gypsum</t>
  </si>
  <si>
    <t xml:space="preserve">Liner board (own recycled mill)</t>
  </si>
  <si>
    <t xml:space="preserve">Primary data – own mill PCF; ~200 g/m² per face</t>
  </si>
  <si>
    <t xml:space="preserve">Starch (core bonding)</t>
  </si>
  <si>
    <t xml:space="preserve">Additives &amp; foaming agent</t>
  </si>
  <si>
    <t xml:space="preserve">Packaging – LDPE film</t>
  </si>
  <si>
    <t xml:space="preserve">Gypsum inbound transport</t>
  </si>
  <si>
    <t xml:space="preserve">Liner board transport mill → plant</t>
  </si>
  <si>
    <t xml:space="preserve">0.4 t × 300 km</t>
  </si>
  <si>
    <t xml:space="preserve">Natural gas – calcination</t>
  </si>
  <si>
    <t xml:space="preserve">Natural gas – board drying</t>
  </si>
  <si>
    <t xml:space="preserve">Metered – main hotspot</t>
  </si>
  <si>
    <t xml:space="preserve">Electricity</t>
  </si>
  <si>
    <t xml:space="preserve">TOTAL (kg CO₂e / 1,000 m²)</t>
  </si>
  <si>
    <t xml:space="preserve">Declared unit</t>
  </si>
  <si>
    <t xml:space="preserve">kg CO₂e per m² gypsum board</t>
  </si>
  <si>
    <t xml:space="preserve">kg CO₂e per t gypsum board</t>
  </si>
  <si>
    <t xml:space="preserve">Supplier Register – Volumes, Supplier-Specific PCFs &amp; PACT Data Quality (Scope 3 Cat 1)</t>
  </si>
  <si>
    <t xml:space="preserve">Supplier PCF is used only if provided AND DQR ≤ threshold; otherwise secondary EF. Suppliers are fictional.</t>
  </si>
  <si>
    <t xml:space="preserve">DQR acceptance threshold</t>
  </si>
  <si>
    <t xml:space="preserve">← PACT DQR scale 1 (very good) – 5 (very poor)</t>
  </si>
  <si>
    <t xml:space="preserve">ID</t>
  </si>
  <si>
    <t xml:space="preserve">Supplier (fictional)</t>
  </si>
  <si>
    <t xml:space="preserve">Country</t>
  </si>
  <si>
    <t xml:space="preserve">Material</t>
  </si>
  <si>
    <t xml:space="preserve">Default EF ID</t>
  </si>
  <si>
    <t xml:space="preserve">Volume (t)</t>
  </si>
  <si>
    <t xml:space="preserve">Spend (EUR k)</t>
  </si>
  <si>
    <t xml:space="preserve">Supplier PCF (kg CO₂e/kg)</t>
  </si>
  <si>
    <t xml:space="preserve">PCF standard</t>
  </si>
  <si>
    <t xml:space="preserve">TeR</t>
  </si>
  <si>
    <t xml:space="preserve">GeR</t>
  </si>
  <si>
    <t xml:space="preserve">TiR</t>
  </si>
  <si>
    <t xml:space="preserve">Compl.</t>
  </si>
  <si>
    <t xml:space="preserve">Reliab.</t>
  </si>
  <si>
    <t xml:space="preserve">DQR</t>
  </si>
  <si>
    <t xml:space="preserve">Default EF</t>
  </si>
  <si>
    <t xml:space="preserve">Applied EF</t>
  </si>
  <si>
    <t xml:space="preserve">Data basis</t>
  </si>
  <si>
    <t xml:space="preserve">Emissions (t CO₂e)</t>
  </si>
  <si>
    <t xml:space="preserve">Emissions w/ default (t CO₂e)</t>
  </si>
  <si>
    <t xml:space="preserve">Δ vs default (t CO₂e)</t>
  </si>
  <si>
    <t xml:space="preserve">Next action</t>
  </si>
  <si>
    <t xml:space="preserve">S01</t>
  </si>
  <si>
    <t xml:space="preserve">Recycling Partner North</t>
  </si>
  <si>
    <t xml:space="preserve">DE</t>
  </si>
  <si>
    <t xml:space="preserve">Recovered paper</t>
  </si>
  <si>
    <t xml:space="preserve">ISO 14067</t>
  </si>
  <si>
    <t xml:space="preserve">S02</t>
  </si>
  <si>
    <t xml:space="preserve">Recycling Partner South</t>
  </si>
  <si>
    <t xml:space="preserve">S03</t>
  </si>
  <si>
    <t xml:space="preserve">Municipal Paper Collection Pool</t>
  </si>
  <si>
    <t xml:space="preserve">S04</t>
  </si>
  <si>
    <t xml:space="preserve">RCP Trader Benelux</t>
  </si>
  <si>
    <t xml:space="preserve">NL</t>
  </si>
  <si>
    <t xml:space="preserve">Own method</t>
  </si>
  <si>
    <t xml:space="preserve">S05</t>
  </si>
  <si>
    <t xml:space="preserve">Starch Mill Central</t>
  </si>
  <si>
    <t xml:space="preserve">Native starch</t>
  </si>
  <si>
    <t xml:space="preserve">PACT v3</t>
  </si>
  <si>
    <t xml:space="preserve">S06</t>
  </si>
  <si>
    <t xml:space="preserve">Mineral Fillers Alpine</t>
  </si>
  <si>
    <t xml:space="preserve">AT</t>
  </si>
  <si>
    <t xml:space="preserve">Calcium carbonate</t>
  </si>
  <si>
    <t xml:space="preserve">S07</t>
  </si>
  <si>
    <t xml:space="preserve">ProcessChem Solutions</t>
  </si>
  <si>
    <t xml:space="preserve">S08</t>
  </si>
  <si>
    <t xml:space="preserve">PrintInk Europe</t>
  </si>
  <si>
    <t xml:space="preserve">Printing ink</t>
  </si>
  <si>
    <t xml:space="preserve">S09</t>
  </si>
  <si>
    <t xml:space="preserve">CoatTech Varnish</t>
  </si>
  <si>
    <t xml:space="preserve">IT</t>
  </si>
  <si>
    <t xml:space="preserve">Varnish</t>
  </si>
  <si>
    <t xml:space="preserve">S10</t>
  </si>
  <si>
    <t xml:space="preserve">BondWell Adhesives</t>
  </si>
  <si>
    <t xml:space="preserve">Adhesive</t>
  </si>
  <si>
    <t xml:space="preserve">S11</t>
  </si>
  <si>
    <t xml:space="preserve">FilmPack Poly</t>
  </si>
  <si>
    <t xml:space="preserve">PL</t>
  </si>
  <si>
    <t xml:space="preserve">Stretch film</t>
  </si>
  <si>
    <t xml:space="preserve">S12</t>
  </si>
  <si>
    <t xml:space="preserve">Gypsum Quarry Harz</t>
  </si>
  <si>
    <t xml:space="preserve">EPD EN 15804</t>
  </si>
  <si>
    <t xml:space="preserve">S13</t>
  </si>
  <si>
    <t xml:space="preserve">Power Plant By-Products</t>
  </si>
  <si>
    <t xml:space="preserve">S14</t>
  </si>
  <si>
    <t xml:space="preserve">Gypsum Recycling West</t>
  </si>
  <si>
    <t xml:space="preserve">S15</t>
  </si>
  <si>
    <t xml:space="preserve">GlassFibre Components</t>
  </si>
  <si>
    <t xml:space="preserve">CZ</t>
  </si>
  <si>
    <t xml:space="preserve">S16</t>
  </si>
  <si>
    <t xml:space="preserve">BuildAdd Chemicals</t>
  </si>
  <si>
    <t xml:space="preserve">Gypsum additives</t>
  </si>
  <si>
    <t xml:space="preserve">TOTAL</t>
  </si>
  <si>
    <t xml:space="preserve">Legend: TeR/GeR/TiR = technological/geographical/temporal representativeness; Compl. = completeness; Reliab. = reliability (PACT Pathfinder v3). Example row S01 shows the expected input format.</t>
  </si>
  <si>
    <t xml:space="preserve">Corporate GHG Inventory – Scope 1, 2, 3 (t CO₂e)</t>
  </si>
  <si>
    <t xml:space="preserve">GHG Protocol Corporate &amp; Scope 3 Standard · operational control · activity × EF / 1,000</t>
  </si>
  <si>
    <t xml:space="preserve">Code</t>
  </si>
  <si>
    <t xml:space="preserve">Emission source</t>
  </si>
  <si>
    <t xml:space="preserve">Activity</t>
  </si>
  <si>
    <t xml:space="preserve">EF (kg/unit)</t>
  </si>
  <si>
    <t xml:space="preserve">Method</t>
  </si>
  <si>
    <t xml:space="preserve">DQ (1-5)</t>
  </si>
  <si>
    <t xml:space="preserve">Comment</t>
  </si>
  <si>
    <t xml:space="preserve">SCOPE 1 – Direct emissions</t>
  </si>
  <si>
    <t xml:space="preserve">S1</t>
  </si>
  <si>
    <t xml:space="preserve">Board mills – natural gas</t>
  </si>
  <si>
    <t xml:space="preserve">Board t × kWh/t</t>
  </si>
  <si>
    <t xml:space="preserve">Folding carton plants – natural gas</t>
  </si>
  <si>
    <t xml:space="preserve">Gypsum board plants – natural gas (calcination + drying)</t>
  </si>
  <si>
    <t xml:space="preserve">Mobile combustion – diesel</t>
  </si>
  <si>
    <t xml:space="preserve">Fuel records</t>
  </si>
  <si>
    <t xml:space="preserve">SCOPE 2 – Purchased electricity</t>
  </si>
  <si>
    <t xml:space="preserve">S2-LB</t>
  </si>
  <si>
    <t xml:space="preserve">Electricity – location-based (all sites)</t>
  </si>
  <si>
    <t xml:space="preserve">Reported; not added to MB</t>
  </si>
  <si>
    <t xml:space="preserve">S2-MB</t>
  </si>
  <si>
    <t xml:space="preserve">Electricity – market-based (non-certified share × residual mix)</t>
  </si>
  <si>
    <t xml:space="preserve">Contracts</t>
  </si>
  <si>
    <t xml:space="preserve">Green share in Company_Inputs</t>
  </si>
  <si>
    <t xml:space="preserve">SCOPE 3 – Value chain</t>
  </si>
  <si>
    <t xml:space="preserve">S3-01</t>
  </si>
  <si>
    <t xml:space="preserve">Cat 1 – Recovered paper</t>
  </si>
  <si>
    <t xml:space="preserve">Register</t>
  </si>
  <si>
    <t xml:space="preserve">Hybrid (supplier/avg)</t>
  </si>
  <si>
    <t xml:space="preserve">Supplier_Register</t>
  </si>
  <si>
    <t xml:space="preserve">Cat 1 – Native starch</t>
  </si>
  <si>
    <t xml:space="preserve">Cat 1 – Calcium carbonate</t>
  </si>
  <si>
    <t xml:space="preserve">Cat 1 – Process chemicals</t>
  </si>
  <si>
    <t xml:space="preserve">Cat 1 – Printing ink</t>
  </si>
  <si>
    <t xml:space="preserve">Cat 1 – Varnish</t>
  </si>
  <si>
    <t xml:space="preserve">Cat 1 – Adhesive</t>
  </si>
  <si>
    <t xml:space="preserve">Cat 1 – Stretch film</t>
  </si>
  <si>
    <t xml:space="preserve">Cat 1 – Natural gypsum</t>
  </si>
  <si>
    <t xml:space="preserve">Cat 1 – FGD gypsum</t>
  </si>
  <si>
    <t xml:space="preserve">Cat 1 – Recycled gypsum</t>
  </si>
  <si>
    <t xml:space="preserve">Cat 1 – Glass fibre</t>
  </si>
  <si>
    <t xml:space="preserve">Cat 1 – Gypsum additives</t>
  </si>
  <si>
    <t xml:space="preserve">Cat 1 – Indirect procurement (spend-based)</t>
  </si>
  <si>
    <t xml:space="preserve">Spend-based</t>
  </si>
  <si>
    <t xml:space="preserve">Replace with supplier data over time</t>
  </si>
  <si>
    <t xml:space="preserve">S3-02</t>
  </si>
  <si>
    <t xml:space="preserve">Cat 2 – Capital goods</t>
  </si>
  <si>
    <t xml:space="preserve">S3-03</t>
  </si>
  <si>
    <t xml:space="preserve">Cat 3 – Natural gas upstream</t>
  </si>
  <si>
    <t xml:space="preserve">Average-data</t>
  </si>
  <si>
    <t xml:space="preserve">Cat 3 – Electricity upstream &amp; T&amp;D losses</t>
  </si>
  <si>
    <t xml:space="preserve">Cat 3 – Diesel upstream</t>
  </si>
  <si>
    <t xml:space="preserve">S3-04</t>
  </si>
  <si>
    <t xml:space="preserve">Cat 4 – Inbound RCP transport</t>
  </si>
  <si>
    <t xml:space="preserve">Distance-based</t>
  </si>
  <si>
    <t xml:space="preserve">External RCP t × km</t>
  </si>
  <si>
    <t xml:space="preserve">Cat 4 – Inbound gypsum transport</t>
  </si>
  <si>
    <t xml:space="preserve">Cat 4 – Internal transfers board → plants (3rd-party hauliers)</t>
  </si>
  <si>
    <t xml:space="preserve">Cat 4 – Outbound deliveries paid by company (FC + gypsum board)</t>
  </si>
  <si>
    <t xml:space="preserve">GLEC: request carrier data</t>
  </si>
  <si>
    <t xml:space="preserve">S3-05</t>
  </si>
  <si>
    <t xml:space="preserve">Cat 5 – Water &amp; wastewater (board mills)</t>
  </si>
  <si>
    <t xml:space="preserve">Cat 5 – Pulper rejects to incineration</t>
  </si>
  <si>
    <t xml:space="preserve">S3-06</t>
  </si>
  <si>
    <t xml:space="preserve">Cat 6 – Business travel</t>
  </si>
  <si>
    <t xml:space="preserve">S3-07</t>
  </si>
  <si>
    <t xml:space="preserve">Cat 7 – Employee commuting</t>
  </si>
  <si>
    <t xml:space="preserve">FTE × 2 × km × days</t>
  </si>
  <si>
    <t xml:space="preserve">S3-09</t>
  </si>
  <si>
    <t xml:space="preserve">Cat 9 – External board collected by customers</t>
  </si>
  <si>
    <t xml:space="preserve">S3-10</t>
  </si>
  <si>
    <t xml:space="preserve">Cat 10 – Processing of sold board by external converters</t>
  </si>
  <si>
    <t xml:space="preserve">Proxy</t>
  </si>
  <si>
    <t xml:space="preserve">Proxy: own converting</t>
  </si>
  <si>
    <t xml:space="preserve">Own FC energy intensity per t board as proxy (kg/t)</t>
  </si>
  <si>
    <t xml:space="preserve">S3-08</t>
  </si>
  <si>
    <t xml:space="preserve">Cat 8 – Upstream leased assets: not relevant (included in Scope 1/2)</t>
  </si>
  <si>
    <t xml:space="preserve">Excluded – justified</t>
  </si>
  <si>
    <t xml:space="preserve">S3-11</t>
  </si>
  <si>
    <t xml:space="preserve">Cat 11 – Use of sold products: not relevant (no direct use-phase emissions)</t>
  </si>
  <si>
    <t xml:space="preserve">S3-12</t>
  </si>
  <si>
    <t xml:space="preserve">Cat 12 – End-of-life folding cartons &amp; board</t>
  </si>
  <si>
    <t xml:space="preserve">Cat 12 – End-of-life gypsum board</t>
  </si>
  <si>
    <t xml:space="preserve">S3-13</t>
  </si>
  <si>
    <t xml:space="preserve">Cat 13 – Downstream leased assets: not relevant</t>
  </si>
  <si>
    <t xml:space="preserve">S3-14</t>
  </si>
  <si>
    <t xml:space="preserve">Cat 14 – Franchises: not relevant</t>
  </si>
  <si>
    <t xml:space="preserve">S3-15</t>
  </si>
  <si>
    <t xml:space="preserve">Cat 15 – Investments: not relevant (no material minority holdings)</t>
  </si>
  <si>
    <t xml:space="preserve">SUMMARY</t>
  </si>
  <si>
    <t xml:space="preserve">Scope 2 – location-based</t>
  </si>
  <si>
    <t xml:space="preserve">Scope 2 – market-based</t>
  </si>
  <si>
    <t xml:space="preserve">TOTAL Scope 1 + 2 (market-based) + 3</t>
  </si>
  <si>
    <t xml:space="preserve">Scope 3 by category (for chart)</t>
  </si>
  <si>
    <t xml:space="preserve">Category</t>
  </si>
  <si>
    <t xml:space="preserve">Share of S3</t>
  </si>
  <si>
    <t xml:space="preserve">Cat 1 – Purchased goods &amp; services</t>
  </si>
  <si>
    <t xml:space="preserve">Cat 3 – Fuel- &amp; energy-related</t>
  </si>
  <si>
    <t xml:space="preserve">Cat 4 – Upstream transport</t>
  </si>
  <si>
    <t xml:space="preserve">Cat 5 – Waste in operations</t>
  </si>
  <si>
    <t xml:space="preserve">Cat 8 – Upstream leased assets</t>
  </si>
  <si>
    <t xml:space="preserve">Cat 9 – Downstream transport</t>
  </si>
  <si>
    <t xml:space="preserve">Cat 10 – Processing of sold products</t>
  </si>
  <si>
    <t xml:space="preserve">Cat 11 – Use of sold products</t>
  </si>
  <si>
    <t xml:space="preserve">Cat 12 – End-of-life treatment</t>
  </si>
  <si>
    <t xml:space="preserve">Cat 13 – Downstream leased assets</t>
  </si>
  <si>
    <t xml:space="preserve">Cat 14 – Franchises</t>
  </si>
  <si>
    <t xml:space="preserve">Cat 15 – Investments</t>
  </si>
  <si>
    <t xml:space="preserve">Check</t>
  </si>
  <si>
    <t xml:space="preserve">Mass balance: RCP in Supplier_Register vs required external RCP (deviation)</t>
  </si>
  <si>
    <t xml:space="preserve">Mass balance: gypsum in Supplier_Register vs recipe requirement (deviation)</t>
  </si>
  <si>
    <t xml:space="preserve">Supplier ESG Scorecard &amp; Risk Prioritisation</t>
  </si>
  <si>
    <t xml:space="preserve">Themes aligned with EcoVadis (Environment, Labour &amp; Human Rights, Ethics, Sustainable Procurement) + Climate data maturity</t>
  </si>
  <si>
    <t xml:space="preserve">Weights</t>
  </si>
  <si>
    <t xml:space="preserve">Environment</t>
  </si>
  <si>
    <t xml:space="preserve">Labour &amp; HR</t>
  </si>
  <si>
    <t xml:space="preserve">Ethics</t>
  </si>
  <si>
    <t xml:space="preserve">Sust. procurement</t>
  </si>
  <si>
    <t xml:space="preserve">Climate maturity</t>
  </si>
  <si>
    <t xml:space="preserve">Supplier</t>
  </si>
  <si>
    <t xml:space="preserve">EcoVadis score</t>
  </si>
  <si>
    <t xml:space="preserve">Environ.</t>
  </si>
  <si>
    <t xml:space="preserve">Sust. proc.</t>
  </si>
  <si>
    <t xml:space="preserve">SBTi (Y/N)</t>
  </si>
  <si>
    <t xml:space="preserve">ISO 14001</t>
  </si>
  <si>
    <t xml:space="preserve">ISO 50001</t>
  </si>
  <si>
    <t xml:space="preserve">PCF accepted</t>
  </si>
  <si>
    <t xml:space="preserve">Total score</t>
  </si>
  <si>
    <t xml:space="preserve">Rating</t>
  </si>
  <si>
    <t xml:space="preserve">Risk index</t>
  </si>
  <si>
    <t xml:space="preserve">Recommended action</t>
  </si>
  <si>
    <t xml:space="preserve">Y</t>
  </si>
  <si>
    <t xml:space="preserve">N</t>
  </si>
  <si>
    <t xml:space="preserve">Climate maturity = 40 pts SBTi target + 30 pts accepted PCF (from register) + 15 pts ISO 14001 + 15 pts ISO 50001. Risk index = emission share × (100 − score): higher = engage first. Thematic scores (0-100) from EcoVadis scorecard or Supplier_Survey.</t>
  </si>
  <si>
    <t xml:space="preserve">Decarbonisation Levers – Reduction Potential &amp; Abatement Cost</t>
  </si>
  <si>
    <t xml:space="preserve">Baselines link to GHG_Inventory · edit blue cells · negative cost = net saving</t>
  </si>
  <si>
    <t xml:space="preserve">Lever</t>
  </si>
  <si>
    <t xml:space="preserve">Baseline (t CO₂e)</t>
  </si>
  <si>
    <t xml:space="preserve">Lever param.</t>
  </si>
  <si>
    <t xml:space="preserve">Reduction (t CO₂e/yr)</t>
  </si>
  <si>
    <t xml:space="preserve">Capex (EUR k)</t>
  </si>
  <si>
    <t xml:space="preserve">Lifetime (yrs)</t>
  </si>
  <si>
    <t xml:space="preserve">Δ Opex (EUR k/yr)</t>
  </si>
  <si>
    <t xml:space="preserve">Abatement cost (EUR/t)</t>
  </si>
  <si>
    <t xml:space="preserve">Start</t>
  </si>
  <si>
    <t xml:space="preserve">Owner</t>
  </si>
  <si>
    <t xml:space="preserve">Priority</t>
  </si>
  <si>
    <t xml:space="preserve">L01</t>
  </si>
  <si>
    <t xml:space="preserve">Additional renewable PPA (+50% of electricity)</t>
  </si>
  <si>
    <t xml:space="preserve">S2</t>
  </si>
  <si>
    <t xml:space="preserve">2026</t>
  </si>
  <si>
    <t xml:space="preserve">Energy procurement</t>
  </si>
  <si>
    <t xml:space="preserve">L02</t>
  </si>
  <si>
    <t xml:space="preserve">Heat pumps / MVR for board drying steam</t>
  </si>
  <si>
    <t xml:space="preserve">2027</t>
  </si>
  <si>
    <t xml:space="preserve">Mill engineering</t>
  </si>
  <si>
    <t xml:space="preserve">L03</t>
  </si>
  <si>
    <t xml:space="preserve">Electrode boiler on renewable power (board mill)</t>
  </si>
  <si>
    <t xml:space="preserve">2028</t>
  </si>
  <si>
    <t xml:space="preserve">L04</t>
  </si>
  <si>
    <t xml:space="preserve">Heat recovery in gypsum board dryers</t>
  </si>
  <si>
    <t xml:space="preserve">Gypsum operations</t>
  </si>
  <si>
    <t xml:space="preserve">L05</t>
  </si>
  <si>
    <t xml:space="preserve">Biomethane for gypsum calcination (share)</t>
  </si>
  <si>
    <t xml:space="preserve">L06</t>
  </si>
  <si>
    <t xml:space="preserve">Low-carbon starch (supplier engagement, −30% EF)</t>
  </si>
  <si>
    <t xml:space="preserve">S3-1</t>
  </si>
  <si>
    <t xml:space="preserve">Purchasing – chemicals</t>
  </si>
  <si>
    <t xml:space="preserve">L07</t>
  </si>
  <si>
    <t xml:space="preserve">Low-carbon / bio-based inks (−25% EF)</t>
  </si>
  <si>
    <t xml:space="preserve">Purchasing – packaging</t>
  </si>
  <si>
    <t xml:space="preserve">L08</t>
  </si>
  <si>
    <t xml:space="preserve">Modal shift RCP inbound to rail (share of tkm)</t>
  </si>
  <si>
    <t xml:space="preserve">S3-4</t>
  </si>
  <si>
    <t xml:space="preserve">Logistics</t>
  </si>
  <si>
    <t xml:space="preserve">L09</t>
  </si>
  <si>
    <t xml:space="preserve">Board lightweighting in folding cartons (−5% grammage)</t>
  </si>
  <si>
    <t xml:space="preserve">Mixed</t>
  </si>
  <si>
    <t xml:space="preserve">R&amp;D / sales</t>
  </si>
  <si>
    <t xml:space="preserve">L10</t>
  </si>
  <si>
    <t xml:space="preserve">Electric collection trucks at RCP suppliers (−30%)</t>
  </si>
  <si>
    <t xml:space="preserve">Purchasing – RCP</t>
  </si>
  <si>
    <t xml:space="preserve">TOTAL identified reduction potential</t>
  </si>
  <si>
    <t xml:space="preserve">as % of total inventory (S1 + S2 MB + S3)</t>
  </si>
  <si>
    <t xml:space="preserve">Reference CO₂ price (EU ETS, EUR/t) – for priority logic</t>
  </si>
  <si>
    <t xml:space="preserve">Note: levers are not fully additive (L02/L03 both act on board-mill gas). Abatement cost = (capex / lifetime + Δ opex) / annual reduction; no discounting.</t>
  </si>
  <si>
    <t xml:space="preserve">Supplier Sustainability &amp; CO₂ Data Survey – Template</t>
  </si>
  <si>
    <t xml:space="preserve">Send annually with PCF request; answers feed Supplier_Scorecard and Supplier_Register. Column F = sample answer.</t>
  </si>
  <si>
    <t xml:space="preserve">No.</t>
  </si>
  <si>
    <t xml:space="preserve">Section</t>
  </si>
  <si>
    <t xml:space="preserve">Question</t>
  </si>
  <si>
    <t xml:space="preserve">Answer type</t>
  </si>
  <si>
    <t xml:space="preserve">Mandatory</t>
  </si>
  <si>
    <t xml:space="preserve">Sample answer (S05)</t>
  </si>
  <si>
    <t xml:space="preserve">Feeds into</t>
  </si>
  <si>
    <t xml:space="preserve">Q01</t>
  </si>
  <si>
    <t xml:space="preserve">A General</t>
  </si>
  <si>
    <t xml:space="preserve">Legal entity, sites supplying us, contact for sustainability</t>
  </si>
  <si>
    <t xml:space="preserve">Text</t>
  </si>
  <si>
    <t xml:space="preserve">Starch Mill Central, Site X</t>
  </si>
  <si>
    <t xml:space="preserve">Q02</t>
  </si>
  <si>
    <t xml:space="preserve">Do you hold a valid EcoVadis rating? Please share score &amp; date</t>
  </si>
  <si>
    <t xml:space="preserve">Number + date</t>
  </si>
  <si>
    <t xml:space="preserve">74 / 03-2025</t>
  </si>
  <si>
    <t xml:space="preserve">Scorecard D</t>
  </si>
  <si>
    <t xml:space="preserve">Q03</t>
  </si>
  <si>
    <t xml:space="preserve">B Climate</t>
  </si>
  <si>
    <t xml:space="preserve">Do you report Scope 1, 2 and 3 emissions according to the GHG Protocol?</t>
  </si>
  <si>
    <t xml:space="preserve">Y/N + file</t>
  </si>
  <si>
    <t xml:space="preserve">Q04</t>
  </si>
  <si>
    <t xml:space="preserve">Have you set a science-based target (SBTi validated or committed)?</t>
  </si>
  <si>
    <t xml:space="preserve">Validated / Committed / No</t>
  </si>
  <si>
    <t xml:space="preserve">Validated</t>
  </si>
  <si>
    <t xml:space="preserve">Scorecard J</t>
  </si>
  <si>
    <t xml:space="preserve">Q05</t>
  </si>
  <si>
    <t xml:space="preserve">Share of renewable electricity at supplying sites (%)</t>
  </si>
  <si>
    <t xml:space="preserve">45%</t>
  </si>
  <si>
    <t xml:space="preserve">Q06</t>
  </si>
  <si>
    <t xml:space="preserve">Planned decarbonisation measures until 2030 incl. expected reduction</t>
  </si>
  <si>
    <t xml:space="preserve">Biogas boiler 2027</t>
  </si>
  <si>
    <t xml:space="preserve">Q07</t>
  </si>
  <si>
    <t xml:space="preserve">C PCF data</t>
  </si>
  <si>
    <t xml:space="preserve">Provide the cradle-to-gate PCF of each product supplied (kg CO₂e / kg)</t>
  </si>
  <si>
    <t xml:space="preserve">Number</t>
  </si>
  <si>
    <t xml:space="preserve">0.62</t>
  </si>
  <si>
    <t xml:space="preserve">Register H</t>
  </si>
  <si>
    <t xml:space="preserve">Q08</t>
  </si>
  <si>
    <t xml:space="preserve">Methodology used (ISO 14067, PACT, PEF, EN 15804) and verification status</t>
  </si>
  <si>
    <t xml:space="preserve">List</t>
  </si>
  <si>
    <t xml:space="preserve">PACT v3, 3rd-party verified</t>
  </si>
  <si>
    <t xml:space="preserve">Register I</t>
  </si>
  <si>
    <t xml:space="preserve">Q09</t>
  </si>
  <si>
    <t xml:space="preserve">Share of primary data in the PCF (%) and reference year of data</t>
  </si>
  <si>
    <t xml:space="preserve">% + year</t>
  </si>
  <si>
    <t xml:space="preserve">80% / 2024</t>
  </si>
  <si>
    <t xml:space="preserve">Register TiR/Reliab.</t>
  </si>
  <si>
    <t xml:space="preserve">Q10</t>
  </si>
  <si>
    <t xml:space="preserve">Secondary database &amp; version used (e.g. ecoinvent 3.10)</t>
  </si>
  <si>
    <t xml:space="preserve">ecoinvent 3.10</t>
  </si>
  <si>
    <t xml:space="preserve">Register TeR</t>
  </si>
  <si>
    <t xml:space="preserve">Q11</t>
  </si>
  <si>
    <t xml:space="preserve">Allocation approach for co-products and recycled content</t>
  </si>
  <si>
    <t xml:space="preserve">Economic allocation</t>
  </si>
  <si>
    <t xml:space="preserve">Data validation</t>
  </si>
  <si>
    <t xml:space="preserve">Q12</t>
  </si>
  <si>
    <t xml:space="preserve">Biogenic carbon content &amp; land-use change emissions reported separately?</t>
  </si>
  <si>
    <t xml:space="preserve">Y/N</t>
  </si>
  <si>
    <t xml:space="preserve">PCF memo items</t>
  </si>
  <si>
    <t xml:space="preserve">Q13</t>
  </si>
  <si>
    <t xml:space="preserve">D Environment</t>
  </si>
  <si>
    <t xml:space="preserve">Certified environmental / energy management system (ISO 14001 / 50001 / EMAS)?</t>
  </si>
  <si>
    <t xml:space="preserve">Multi-select + certificate</t>
  </si>
  <si>
    <t xml:space="preserve">ISO 14001, ISO 50001</t>
  </si>
  <si>
    <t xml:space="preserve">Scorecard K/L</t>
  </si>
  <si>
    <t xml:space="preserve">Q14</t>
  </si>
  <si>
    <t xml:space="preserve">Water withdrawal in water-stressed areas, effluent treatment</t>
  </si>
  <si>
    <t xml:space="preserve">No water stress</t>
  </si>
  <si>
    <t xml:space="preserve">Environment score</t>
  </si>
  <si>
    <t xml:space="preserve">Q15</t>
  </si>
  <si>
    <t xml:space="preserve">Chain-of-custody certification for fibre / bio-based materials (FSC, PEFC, ISCC)</t>
  </si>
  <si>
    <t xml:space="preserve">Multi-select</t>
  </si>
  <si>
    <t xml:space="preserve">ISCC PLUS</t>
  </si>
  <si>
    <t xml:space="preserve">Q16</t>
  </si>
  <si>
    <t xml:space="preserve">E Labour &amp; HR</t>
  </si>
  <si>
    <t xml:space="preserve">Human rights policy and due diligence process (LkSG / CSDDD)</t>
  </si>
  <si>
    <t xml:space="preserve">Labour &amp; HR score</t>
  </si>
  <si>
    <t xml:space="preserve">Q17</t>
  </si>
  <si>
    <t xml:space="preserve">Lost-time injury frequency rate (LTIFR) last year</t>
  </si>
  <si>
    <t xml:space="preserve">3.1</t>
  </si>
  <si>
    <t xml:space="preserve">Q18</t>
  </si>
  <si>
    <t xml:space="preserve">F Ethics</t>
  </si>
  <si>
    <t xml:space="preserve">Anti-corruption &amp; whistleblowing system in place?</t>
  </si>
  <si>
    <t xml:space="preserve">Ethics score</t>
  </si>
  <si>
    <t xml:space="preserve">Q19</t>
  </si>
  <si>
    <t xml:space="preserve">Signed our Supplier Code of Conduct?</t>
  </si>
  <si>
    <t xml:space="preserve">Q20</t>
  </si>
  <si>
    <t xml:space="preserve">G Supply chain</t>
  </si>
  <si>
    <t xml:space="preserve">Do you assess your own suppliers on ESG criteria? Share of spend covered</t>
  </si>
  <si>
    <t xml:space="preserve">60%</t>
  </si>
  <si>
    <t xml:space="preserve">Sust. procurement score</t>
  </si>
  <si>
    <t xml:space="preserve">Q21</t>
  </si>
  <si>
    <t xml:space="preserve">Country of origin of key raw materials (deforestation / EUDR relevance)</t>
  </si>
  <si>
    <t xml:space="preserve">EU (wheat, maize)</t>
  </si>
  <si>
    <t xml:space="preserve">Risk screening</t>
  </si>
  <si>
    <t xml:space="preserve">Internal Training &amp; Awareness Programme</t>
  </si>
  <si>
    <t xml:space="preserve">Target groups, formats and success metrics</t>
  </si>
  <si>
    <t xml:space="preserve">Module</t>
  </si>
  <si>
    <t xml:space="preserve">Target group</t>
  </si>
  <si>
    <t xml:space="preserve">Format</t>
  </si>
  <si>
    <t xml:space="preserve">Duration</t>
  </si>
  <si>
    <t xml:space="preserve">Key content</t>
  </si>
  <si>
    <t xml:space="preserve">Success metric</t>
  </si>
  <si>
    <t xml:space="preserve">T01</t>
  </si>
  <si>
    <t xml:space="preserve">Climate basics &amp; GHG Protocol</t>
  </si>
  <si>
    <t xml:space="preserve">All employees</t>
  </si>
  <si>
    <t xml:space="preserve">E-learning</t>
  </si>
  <si>
    <t xml:space="preserve">45 min</t>
  </si>
  <si>
    <t xml:space="preserve">Scope 1/2/3, why CO₂ matters for customers, our targets</t>
  </si>
  <si>
    <t xml:space="preserve">≥ 90% completion</t>
  </si>
  <si>
    <t xml:space="preserve">T02</t>
  </si>
  <si>
    <t xml:space="preserve">Scope 3 &amp; supplier data for buyers</t>
  </si>
  <si>
    <t xml:space="preserve">Purchasing / category mgmt</t>
  </si>
  <si>
    <t xml:space="preserve">Workshop</t>
  </si>
  <si>
    <t xml:space="preserve">½ day</t>
  </si>
  <si>
    <t xml:space="preserve">Cat 1 hotspots, PCF requests, PACT DQR, using Supplier_Register</t>
  </si>
  <si>
    <t xml:space="preserve">Supplier-specific share ↑</t>
  </si>
  <si>
    <t xml:space="preserve">T03</t>
  </si>
  <si>
    <t xml:space="preserve">ESG supplier assessments &amp; EcoVadis</t>
  </si>
  <si>
    <t xml:space="preserve">Purchasing, quality</t>
  </si>
  <si>
    <t xml:space="preserve">3 h</t>
  </si>
  <si>
    <t xml:space="preserve">EcoVadis themes, scorecard logic, corrective action plans, LkSG/CSDDD</t>
  </si>
  <si>
    <t xml:space="preserve">Spend with A/B suppliers ↑</t>
  </si>
  <si>
    <t xml:space="preserve">T04</t>
  </si>
  <si>
    <t xml:space="preserve">PCF &amp; LCA for sales and key account</t>
  </si>
  <si>
    <t xml:space="preserve">Sales, product mgmt</t>
  </si>
  <si>
    <t xml:space="preserve">Reading PCFs, cut-off &amp; biogenic carbon, answering customer requests</t>
  </si>
  <si>
    <t xml:space="preserve">Response time to customer requests</t>
  </si>
  <si>
    <t xml:space="preserve">T05</t>
  </si>
  <si>
    <t xml:space="preserve">Energy efficiency on the shop floor</t>
  </si>
  <si>
    <t xml:space="preserve">Mill &amp; plant operators</t>
  </si>
  <si>
    <t xml:space="preserve">On-site toolbox talk</t>
  </si>
  <si>
    <t xml:space="preserve">30 min</t>
  </si>
  <si>
    <t xml:space="preserve">Steam &amp; compressed-air losses, idling, dryer optimisation</t>
  </si>
  <si>
    <t xml:space="preserve">kWh per t ↓</t>
  </si>
  <si>
    <t xml:space="preserve">T06</t>
  </si>
  <si>
    <t xml:space="preserve">Green claims &amp; communication</t>
  </si>
  <si>
    <t xml:space="preserve">Marketing, sales</t>
  </si>
  <si>
    <t xml:space="preserve">Webinar</t>
  </si>
  <si>
    <t xml:space="preserve">1 h</t>
  </si>
  <si>
    <t xml:space="preserve">EU Green Claims rules, avoiding greenwashing, recyclability claims</t>
  </si>
  <si>
    <t xml:space="preserve">No non-compliant claims</t>
  </si>
  <si>
    <t xml:space="preserve">T07</t>
  </si>
  <si>
    <t xml:space="preserve">Data quality for CO₂ KPIs</t>
  </si>
  <si>
    <t xml:space="preserve">Controlling, site energy managers</t>
  </si>
  <si>
    <t xml:space="preserve">2 h</t>
  </si>
  <si>
    <t xml:space="preserve">Activity data, metering, plausibility checks, mass balances, audit trail</t>
  </si>
  <si>
    <t xml:space="preserve">Zero audit findings</t>
  </si>
</sst>
</file>

<file path=xl/styles.xml><?xml version="1.0" encoding="utf-8"?>
<styleSheet xmlns="http://schemas.openxmlformats.org/spreadsheetml/2006/main">
  <numFmts count="11">
    <numFmt numFmtId="164" formatCode="General"/>
    <numFmt numFmtId="165" formatCode="#,##0;\(#,##0\);\-"/>
    <numFmt numFmtId="166" formatCode="0.0%;\(0.0%\);\-"/>
    <numFmt numFmtId="167" formatCode="0.00"/>
    <numFmt numFmtId="168" formatCode="@"/>
    <numFmt numFmtId="169" formatCode="#,##0.0;\(#,##0.0\);\-"/>
    <numFmt numFmtId="170" formatCode="0.000"/>
    <numFmt numFmtId="171" formatCode="#,##0.000;\(#,##0.000\);\-"/>
    <numFmt numFmtId="172" formatCode="0.0"/>
    <numFmt numFmtId="173" formatCode="0"/>
    <numFmt numFmtId="174" formatCode="#,##0"/>
  </numFmts>
  <fonts count="14">
    <font>
      <sz val="11"/>
      <color theme="1"/>
      <name val="Calibri"/>
      <family val="2"/>
      <charset val="1"/>
    </font>
    <font>
      <sz val="10"/>
      <name val="Arial"/>
      <family val="0"/>
    </font>
    <font>
      <sz val="10"/>
      <name val="Arial"/>
      <family val="0"/>
    </font>
    <font>
      <sz val="10"/>
      <name val="Arial"/>
      <family val="0"/>
    </font>
    <font>
      <b val="true"/>
      <sz val="14"/>
      <color rgb="FF1F4E3D"/>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008000"/>
      <name val="Arial"/>
      <family val="0"/>
      <charset val="1"/>
    </font>
    <font>
      <sz val="10"/>
      <color rgb="FF0000FF"/>
      <name val="Arial"/>
      <family val="0"/>
      <charset val="1"/>
    </font>
    <font>
      <sz val="10"/>
      <color rgb="FF008000"/>
      <name val="Arial"/>
      <family val="0"/>
      <charset val="1"/>
    </font>
    <font>
      <b val="true"/>
      <sz val="18"/>
      <color rgb="FF000000"/>
      <name val="Calibri"/>
      <family val="2"/>
    </font>
    <font>
      <sz val="10"/>
      <color rgb="FF000000"/>
      <name val="Calibri"/>
      <family val="2"/>
    </font>
  </fonts>
  <fills count="6">
    <fill>
      <patternFill patternType="none"/>
    </fill>
    <fill>
      <patternFill patternType="gray125"/>
    </fill>
    <fill>
      <patternFill patternType="solid">
        <fgColor rgb="FF1F4E3D"/>
        <bgColor rgb="FF003366"/>
      </patternFill>
    </fill>
    <fill>
      <patternFill patternType="solid">
        <fgColor rgb="FFE2EFDA"/>
        <bgColor rgb="FFC6EFCE"/>
      </patternFill>
    </fill>
    <fill>
      <patternFill patternType="solid">
        <fgColor rgb="FFFFF2CC"/>
        <bgColor rgb="FFFCE4D6"/>
      </patternFill>
    </fill>
    <fill>
      <patternFill patternType="solid">
        <fgColor rgb="FFD9D9D9"/>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9" fontId="10"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10" fillId="4" borderId="1" xfId="0" applyFont="true" applyBorder="true" applyAlignment="false" applyProtection="false">
      <alignment horizontal="general" vertical="bottom" textRotation="0" wrapText="false" indent="0" shrinkToFit="false"/>
      <protection locked="true" hidden="false"/>
    </xf>
    <xf numFmtId="171" fontId="10" fillId="4"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9" fontId="6" fillId="5" borderId="1" xfId="0" applyFont="true" applyBorder="true" applyAlignment="false" applyProtection="false">
      <alignment horizontal="general" vertical="bottom" textRotation="0" wrapText="false" indent="0" shrinkToFit="false"/>
      <protection locked="true" hidden="false"/>
    </xf>
    <xf numFmtId="166" fontId="6" fillId="5"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7" fontId="6" fillId="5" borderId="1" xfId="0" applyFont="true" applyBorder="true" applyAlignment="false" applyProtection="false">
      <alignment horizontal="general" vertical="bottom" textRotation="0" wrapText="false" indent="0" shrinkToFit="false"/>
      <protection locked="true" hidden="false"/>
    </xf>
    <xf numFmtId="172" fontId="10"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73" fontId="10" fillId="4"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false" applyProtection="false">
      <alignment horizontal="general" vertical="bottom" textRotation="0" wrapText="false" indent="0" shrinkToFit="false"/>
      <protection locked="true" hidden="false"/>
    </xf>
    <xf numFmtId="172" fontId="6" fillId="5"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FFC7CE"/>
        </patternFill>
      </fill>
    </dxf>
    <dxf>
      <fill>
        <patternFill>
          <bgColor rgb="FFFFEB9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CE4D6"/>
      <rgbColor rgb="FFC6EFCE"/>
      <rgbColor rgb="FFFFEB9C"/>
      <rgbColor rgb="FF99CCFF"/>
      <rgbColor rgb="FFFF99CC"/>
      <rgbColor rgb="FFCC99FF"/>
      <rgbColor rgb="FFFFC7CE"/>
      <rgbColor rgb="FF4F81BD"/>
      <rgbColor rgb="FF33CCCC"/>
      <rgbColor rgb="FF9BBB59"/>
      <rgbColor rgb="FFFFCC00"/>
      <rgbColor rgb="FFFF9900"/>
      <rgbColor rgb="FFFF6600"/>
      <rgbColor rgb="FF595959"/>
      <rgbColor rgb="FF70AD47"/>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Scope split (t CO₂e)</a:t>
            </a:r>
          </a:p>
        </c:rich>
      </c:tx>
      <c:overlay val="0"/>
      <c:spPr>
        <a:noFill/>
        <a:ln w="0">
          <a:noFill/>
        </a:ln>
      </c:spPr>
    </c:title>
    <c:autoTitleDeleted val="0"/>
    <c:plotArea>
      <c:pieChart>
        <c:varyColors val="1"/>
        <c:ser>
          <c:idx val="0"/>
          <c:order val="0"/>
          <c:tx>
            <c:strRef>
              <c:f>KPI_Dashboard!C34</c:f>
              <c:strCache>
                <c:ptCount val="1"/>
                <c:pt idx="0">
                  <c:v>t CO₂e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KPI_Dashboard!$B$35:$B$37</c:f>
              <c:strCache>
                <c:ptCount val="3"/>
                <c:pt idx="0">
                  <c:v>Scope 1</c:v>
                </c:pt>
                <c:pt idx="1">
                  <c:v>Scope 2 (MB)</c:v>
                </c:pt>
                <c:pt idx="2">
                  <c:v>Scope 3</c:v>
                </c:pt>
              </c:strCache>
            </c:strRef>
          </c:cat>
          <c:val>
            <c:numRef>
              <c:f>KPI_Dashboard!$C$35:$C$37</c:f>
              <c:numCache>
                <c:formatCode>#,##0;\(#,##0\);\-</c:formatCode>
                <c:ptCount val="3"/>
                <c:pt idx="0">
                  <c:v>202028.522727273</c:v>
                </c:pt>
                <c:pt idx="1">
                  <c:v>107900.079545455</c:v>
                </c:pt>
                <c:pt idx="2">
                  <c:v>201169.84525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Hotspots by stage</a:t>
            </a:r>
          </a:p>
        </c:rich>
      </c:tx>
      <c:overlay val="0"/>
      <c:spPr>
        <a:noFill/>
        <a:ln w="0">
          <a:noFill/>
        </a:ln>
      </c:spPr>
    </c:title>
    <c:autoTitleDeleted val="0"/>
    <c:plotArea>
      <c:pieChart>
        <c:varyColors val="1"/>
        <c:ser>
          <c:idx val="0"/>
          <c:order val="0"/>
          <c:tx>
            <c:strRef>
              <c:f>PCF_Board!B27</c:f>
              <c:strCache>
                <c:ptCount val="1"/>
                <c:pt idx="0">
                  <c:v>kg CO₂e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PCF_Board!$A$28:$A$30</c:f>
              <c:strCache>
                <c:ptCount val="3"/>
                <c:pt idx="0">
                  <c:v>A1 Raw materials</c:v>
                </c:pt>
                <c:pt idx="1">
                  <c:v>A2 Transport</c:v>
                </c:pt>
                <c:pt idx="2">
                  <c:v>A3 Manufacturing</c:v>
                </c:pt>
              </c:strCache>
            </c:strRef>
          </c:cat>
          <c:val>
            <c:numRef>
              <c:f>PCF_Board!$B$28:$B$30</c:f>
              <c:numCache>
                <c:formatCode>#,##0.0;\(#,##0.0\);\-</c:formatCode>
                <c:ptCount val="3"/>
                <c:pt idx="0">
                  <c:v>73.65</c:v>
                </c:pt>
                <c:pt idx="1">
                  <c:v>16.3875</c:v>
                </c:pt>
                <c:pt idx="2">
                  <c:v>626.7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Hotspots by stage</a:t>
            </a:r>
          </a:p>
        </c:rich>
      </c:tx>
      <c:overlay val="0"/>
      <c:spPr>
        <a:noFill/>
        <a:ln w="0">
          <a:noFill/>
        </a:ln>
      </c:spPr>
    </c:title>
    <c:autoTitleDeleted val="0"/>
    <c:plotArea>
      <c:pieChart>
        <c:varyColors val="1"/>
        <c:ser>
          <c:idx val="0"/>
          <c:order val="0"/>
          <c:tx>
            <c:strRef>
              <c:f>PCF_FoldingCarton!B27</c:f>
              <c:strCache>
                <c:ptCount val="1"/>
                <c:pt idx="0">
                  <c:v>kg CO₂e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PCF_FoldingCarton!$A$28:$A$30</c:f>
              <c:strCache>
                <c:ptCount val="3"/>
                <c:pt idx="0">
                  <c:v>A1 Raw materials</c:v>
                </c:pt>
                <c:pt idx="1">
                  <c:v>A2 Transport</c:v>
                </c:pt>
                <c:pt idx="2">
                  <c:v>A3 Manufacturing</c:v>
                </c:pt>
              </c:strCache>
            </c:strRef>
          </c:cat>
          <c:val>
            <c:numRef>
              <c:f>PCF_FoldingCarton!$B$28:$B$30</c:f>
              <c:numCache>
                <c:formatCode>#,##0.0;\(#,##0.0\);\-</c:formatCode>
                <c:ptCount val="3"/>
                <c:pt idx="0">
                  <c:v>907.074431818182</c:v>
                </c:pt>
                <c:pt idx="1">
                  <c:v>26.9886363636364</c:v>
                </c:pt>
                <c:pt idx="2">
                  <c:v>122.525454545455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Hotspots by stage</a:t>
            </a:r>
          </a:p>
        </c:rich>
      </c:tx>
      <c:overlay val="0"/>
      <c:spPr>
        <a:noFill/>
        <a:ln w="0">
          <a:noFill/>
        </a:ln>
      </c:spPr>
    </c:title>
    <c:autoTitleDeleted val="0"/>
    <c:plotArea>
      <c:pieChart>
        <c:varyColors val="1"/>
        <c:ser>
          <c:idx val="0"/>
          <c:order val="0"/>
          <c:tx>
            <c:strRef>
              <c:f>PCF_GypsumBoard!B32</c:f>
              <c:strCache>
                <c:ptCount val="1"/>
                <c:pt idx="0">
                  <c:v>kg CO₂e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PCF_GypsumBoard!$A$33:$A$35</c:f>
              <c:strCache>
                <c:ptCount val="3"/>
                <c:pt idx="0">
                  <c:v>A1 Raw materials</c:v>
                </c:pt>
                <c:pt idx="1">
                  <c:v>A2 Transport</c:v>
                </c:pt>
                <c:pt idx="2">
                  <c:v>A3 Manufacturing</c:v>
                </c:pt>
              </c:strCache>
            </c:strRef>
          </c:cat>
          <c:val>
            <c:numRef>
              <c:f>PCF_GypsumBoard!$B$33:$B$35</c:f>
              <c:numCache>
                <c:formatCode>#,##0.0;\(#,##0.0\);\-</c:formatCode>
                <c:ptCount val="3"/>
                <c:pt idx="0">
                  <c:v>390.495</c:v>
                </c:pt>
                <c:pt idx="1">
                  <c:v>79.8</c:v>
                </c:pt>
                <c:pt idx="2">
                  <c:v>1792.5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Scope 3 by category (t CO₂e)</a:t>
            </a:r>
          </a:p>
        </c:rich>
      </c:tx>
      <c:overlay val="0"/>
      <c:spPr>
        <a:noFill/>
        <a:ln w="0">
          <a:noFill/>
        </a:ln>
      </c:spPr>
    </c:title>
    <c:autoTitleDeleted val="0"/>
    <c:plotArea>
      <c:barChart>
        <c:barDir val="bar"/>
        <c:grouping val="clustered"/>
        <c:varyColors val="0"/>
        <c:ser>
          <c:idx val="0"/>
          <c:order val="0"/>
          <c:tx>
            <c:strRef>
              <c:f>GHG_Inventory!C59</c:f>
              <c:strCache>
                <c:ptCount val="1"/>
                <c:pt idx="0">
                  <c:v>t CO₂e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GHG_Inventory!$B$60:$B$74</c:f>
              <c:strCache>
                <c:ptCount val="15"/>
                <c:pt idx="0">
                  <c:v>Cat 1 – Purchased goods &amp; services</c:v>
                </c:pt>
                <c:pt idx="1">
                  <c:v>Cat 2 – Capital goods</c:v>
                </c:pt>
                <c:pt idx="2">
                  <c:v>Cat 3 – Fuel- &amp; energy-related</c:v>
                </c:pt>
                <c:pt idx="3">
                  <c:v>Cat 4 – Upstream transport</c:v>
                </c:pt>
                <c:pt idx="4">
                  <c:v>Cat 5 – Waste in operations</c:v>
                </c:pt>
                <c:pt idx="5">
                  <c:v>Cat 6 – Business travel</c:v>
                </c:pt>
                <c:pt idx="6">
                  <c:v>Cat 7 – Employee commuting</c:v>
                </c:pt>
                <c:pt idx="7">
                  <c:v>Cat 8 – Upstream leased assets</c:v>
                </c:pt>
                <c:pt idx="8">
                  <c:v>Cat 9 – Downstream transport</c:v>
                </c:pt>
                <c:pt idx="9">
                  <c:v>Cat 10 – Processing of sold products</c:v>
                </c:pt>
                <c:pt idx="10">
                  <c:v>Cat 11 – Use of sold products</c:v>
                </c:pt>
                <c:pt idx="11">
                  <c:v>Cat 12 – End-of-life treatment</c:v>
                </c:pt>
                <c:pt idx="12">
                  <c:v>Cat 13 – Downstream leased assets</c:v>
                </c:pt>
                <c:pt idx="13">
                  <c:v>Cat 14 – Franchises</c:v>
                </c:pt>
                <c:pt idx="14">
                  <c:v>Cat 15 – Investments</c:v>
                </c:pt>
              </c:strCache>
            </c:strRef>
          </c:cat>
          <c:val>
            <c:numRef>
              <c:f>GHG_Inventory!$C$60:$C$74</c:f>
              <c:numCache>
                <c:formatCode>#,##0;\(#,##0\);\-</c:formatCode>
                <c:ptCount val="15"/>
                <c:pt idx="0">
                  <c:v>52951</c:v>
                </c:pt>
                <c:pt idx="1">
                  <c:v>12250</c:v>
                </c:pt>
                <c:pt idx="2">
                  <c:v>40932.1704545455</c:v>
                </c:pt>
                <c:pt idx="3">
                  <c:v>26625.5744318182</c:v>
                </c:pt>
                <c:pt idx="4">
                  <c:v>20024.8363636364</c:v>
                </c:pt>
                <c:pt idx="5">
                  <c:v>630</c:v>
                </c:pt>
                <c:pt idx="6">
                  <c:v>3598.56</c:v>
                </c:pt>
                <c:pt idx="7">
                  <c:v>0</c:v>
                </c:pt>
                <c:pt idx="8">
                  <c:v>4940</c:v>
                </c:pt>
                <c:pt idx="9">
                  <c:v>24442.704</c:v>
                </c:pt>
                <c:pt idx="10">
                  <c:v>0</c:v>
                </c:pt>
                <c:pt idx="11">
                  <c:v>14775</c:v>
                </c:pt>
                <c:pt idx="12">
                  <c:v>0</c:v>
                </c:pt>
                <c:pt idx="13">
                  <c:v>0</c:v>
                </c:pt>
                <c:pt idx="14">
                  <c:v>0</c:v>
                </c:pt>
              </c:numCache>
            </c:numRef>
          </c:val>
        </c:ser>
        <c:gapWidth val="150"/>
        <c:overlap val="0"/>
        <c:axId val="69343918"/>
        <c:axId val="84680839"/>
      </c:barChart>
      <c:catAx>
        <c:axId val="6934391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680839"/>
        <c:crosses val="autoZero"/>
        <c:auto val="1"/>
        <c:lblAlgn val="ctr"/>
        <c:lblOffset val="100"/>
        <c:noMultiLvlLbl val="0"/>
      </c:catAx>
      <c:valAx>
        <c:axId val="8468083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34391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Reduction potential by lever (t CO₂e/yr)</a:t>
            </a:r>
          </a:p>
        </c:rich>
      </c:tx>
      <c:overlay val="0"/>
      <c:spPr>
        <a:noFill/>
        <a:ln w="0">
          <a:noFill/>
        </a:ln>
      </c:spPr>
    </c:title>
    <c:autoTitleDeleted val="0"/>
    <c:plotArea>
      <c:barChart>
        <c:barDir val="bar"/>
        <c:grouping val="clustered"/>
        <c:varyColors val="0"/>
        <c:ser>
          <c:idx val="0"/>
          <c:order val="0"/>
          <c:tx>
            <c:strRef>
              <c:f>Decarbonisation!F4</c:f>
              <c:strCache>
                <c:ptCount val="1"/>
                <c:pt idx="0">
                  <c:v>Reduction (t CO₂e/yr)</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Decarbonisation!$B$5:$B$14</c:f>
              <c:strCache>
                <c:ptCount val="10"/>
                <c:pt idx="0">
                  <c:v>Additional renewable PPA (+50% of electricity)</c:v>
                </c:pt>
                <c:pt idx="1">
                  <c:v>Heat pumps / MVR for board drying steam</c:v>
                </c:pt>
                <c:pt idx="2">
                  <c:v>Electrode boiler on renewable power (board mill)</c:v>
                </c:pt>
                <c:pt idx="3">
                  <c:v>Heat recovery in gypsum board dryers</c:v>
                </c:pt>
                <c:pt idx="4">
                  <c:v>Biomethane for gypsum calcination (share)</c:v>
                </c:pt>
                <c:pt idx="5">
                  <c:v>Low-carbon starch (supplier engagement, −30% EF)</c:v>
                </c:pt>
                <c:pt idx="6">
                  <c:v>Low-carbon / bio-based inks (−25% EF)</c:v>
                </c:pt>
                <c:pt idx="7">
                  <c:v>Modal shift RCP inbound to rail (share of tkm)</c:v>
                </c:pt>
                <c:pt idx="8">
                  <c:v>Board lightweighting in folding cartons (−5% grammage)</c:v>
                </c:pt>
                <c:pt idx="9">
                  <c:v>Electric collection trucks at RCP suppliers (−30%)</c:v>
                </c:pt>
              </c:strCache>
            </c:strRef>
          </c:cat>
          <c:val>
            <c:numRef>
              <c:f>Decarbonisation!$F$5:$F$14</c:f>
              <c:numCache>
                <c:formatCode>#,##0;\(#,##0\);\-</c:formatCode>
                <c:ptCount val="10"/>
                <c:pt idx="0">
                  <c:v>71933.3863636364</c:v>
                </c:pt>
                <c:pt idx="1">
                  <c:v>27152.7245454546</c:v>
                </c:pt>
                <c:pt idx="2">
                  <c:v>20364.5434090909</c:v>
                </c:pt>
                <c:pt idx="3">
                  <c:v>7272.18</c:v>
                </c:pt>
                <c:pt idx="4">
                  <c:v>3385.8</c:v>
                </c:pt>
                <c:pt idx="5">
                  <c:v>3199.2</c:v>
                </c:pt>
                <c:pt idx="6">
                  <c:v>1063.125</c:v>
                </c:pt>
                <c:pt idx="7">
                  <c:v>1779.24286363636</c:v>
                </c:pt>
                <c:pt idx="8">
                  <c:v>4275.99076704546</c:v>
                </c:pt>
                <c:pt idx="9">
                  <c:v>1845</c:v>
                </c:pt>
              </c:numCache>
            </c:numRef>
          </c:val>
        </c:ser>
        <c:gapWidth val="150"/>
        <c:overlap val="0"/>
        <c:axId val="26859626"/>
        <c:axId val="86094527"/>
      </c:barChart>
      <c:catAx>
        <c:axId val="2685962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094527"/>
        <c:crosses val="autoZero"/>
        <c:auto val="1"/>
        <c:lblAlgn val="ctr"/>
        <c:lblOffset val="100"/>
        <c:noMultiLvlLbl val="0"/>
      </c:catAx>
      <c:valAx>
        <c:axId val="8609452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8596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31</xdr:row>
      <xdr:rowOff>160920</xdr:rowOff>
    </xdr:from>
    <xdr:to>
      <xdr:col>6</xdr:col>
      <xdr:colOff>1774800</xdr:colOff>
      <xdr:row>45</xdr:row>
      <xdr:rowOff>2880</xdr:rowOff>
    </xdr:to>
    <xdr:graphicFrame>
      <xdr:nvGraphicFramePr>
        <xdr:cNvPr id="0" name="Chart 1"/>
        <xdr:cNvGraphicFramePr/>
      </xdr:nvGraphicFramePr>
      <xdr:xfrm>
        <a:off x="6555240" y="6286680"/>
        <a:ext cx="39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24</xdr:row>
      <xdr:rowOff>48240</xdr:rowOff>
    </xdr:from>
    <xdr:to>
      <xdr:col>9</xdr:col>
      <xdr:colOff>90360</xdr:colOff>
      <xdr:row>37</xdr:row>
      <xdr:rowOff>80640</xdr:rowOff>
    </xdr:to>
    <xdr:graphicFrame>
      <xdr:nvGraphicFramePr>
        <xdr:cNvPr id="1" name="Chart 1"/>
        <xdr:cNvGraphicFramePr/>
      </xdr:nvGraphicFramePr>
      <xdr:xfrm>
        <a:off x="6414120" y="4952880"/>
        <a:ext cx="43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24</xdr:row>
      <xdr:rowOff>160560</xdr:rowOff>
    </xdr:from>
    <xdr:to>
      <xdr:col>9</xdr:col>
      <xdr:colOff>90360</xdr:colOff>
      <xdr:row>38</xdr:row>
      <xdr:rowOff>2520</xdr:rowOff>
    </xdr:to>
    <xdr:graphicFrame>
      <xdr:nvGraphicFramePr>
        <xdr:cNvPr id="2" name="Chart 1"/>
        <xdr:cNvGraphicFramePr/>
      </xdr:nvGraphicFramePr>
      <xdr:xfrm>
        <a:off x="6414120" y="4952880"/>
        <a:ext cx="43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29</xdr:row>
      <xdr:rowOff>160560</xdr:rowOff>
    </xdr:from>
    <xdr:to>
      <xdr:col>9</xdr:col>
      <xdr:colOff>90360</xdr:colOff>
      <xdr:row>43</xdr:row>
      <xdr:rowOff>2880</xdr:rowOff>
    </xdr:to>
    <xdr:graphicFrame>
      <xdr:nvGraphicFramePr>
        <xdr:cNvPr id="3" name="Chart 1"/>
        <xdr:cNvGraphicFramePr/>
      </xdr:nvGraphicFramePr>
      <xdr:xfrm>
        <a:off x="6414120" y="5905440"/>
        <a:ext cx="43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57</xdr:row>
      <xdr:rowOff>160560</xdr:rowOff>
    </xdr:from>
    <xdr:to>
      <xdr:col>9</xdr:col>
      <xdr:colOff>2885040</xdr:colOff>
      <xdr:row>75</xdr:row>
      <xdr:rowOff>140760</xdr:rowOff>
    </xdr:to>
    <xdr:graphicFrame>
      <xdr:nvGraphicFramePr>
        <xdr:cNvPr id="4" name="Chart 1"/>
        <xdr:cNvGraphicFramePr/>
      </xdr:nvGraphicFramePr>
      <xdr:xfrm>
        <a:off x="6484680" y="1123956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19</xdr:row>
      <xdr:rowOff>160920</xdr:rowOff>
    </xdr:from>
    <xdr:to>
      <xdr:col>6</xdr:col>
      <xdr:colOff>221760</xdr:colOff>
      <xdr:row>36</xdr:row>
      <xdr:rowOff>162000</xdr:rowOff>
    </xdr:to>
    <xdr:graphicFrame>
      <xdr:nvGraphicFramePr>
        <xdr:cNvPr id="5" name="Chart 1"/>
        <xdr:cNvGraphicFramePr/>
      </xdr:nvGraphicFramePr>
      <xdr:xfrm>
        <a:off x="352440" y="40006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tru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60" hidden="false" customHeight="true" outlineLevel="0" collapsed="false">
      <c r="A4" s="3" t="s">
        <v>2</v>
      </c>
      <c r="B4" s="4" t="s">
        <v>3</v>
      </c>
    </row>
    <row r="5" customFormat="false" ht="60" hidden="false" customHeight="true" outlineLevel="0" collapsed="false">
      <c r="A5" s="3" t="s">
        <v>4</v>
      </c>
      <c r="B5" s="4" t="s">
        <v>5</v>
      </c>
    </row>
    <row r="6" customFormat="false" ht="60" hidden="false" customHeight="true" outlineLevel="0" collapsed="false">
      <c r="A6" s="3" t="s">
        <v>6</v>
      </c>
      <c r="B6" s="4" t="s">
        <v>7</v>
      </c>
    </row>
    <row r="7" customFormat="false" ht="60" hidden="false" customHeight="true" outlineLevel="0" collapsed="false">
      <c r="A7" s="3" t="s">
        <v>8</v>
      </c>
      <c r="B7" s="4" t="s">
        <v>9</v>
      </c>
    </row>
    <row r="8" customFormat="false" ht="90" hidden="false" customHeight="true" outlineLevel="0" collapsed="false">
      <c r="A8" s="3" t="s">
        <v>10</v>
      </c>
      <c r="B8" s="4" t="s">
        <v>11</v>
      </c>
    </row>
    <row r="9" customFormat="false" ht="30" hidden="false" customHeight="true" outlineLevel="0" collapsed="false">
      <c r="A9" s="3" t="s">
        <v>12</v>
      </c>
      <c r="B9" s="4" t="s">
        <v>13</v>
      </c>
    </row>
    <row r="10" customFormat="false" ht="90" hidden="false" customHeight="true" outlineLevel="0" collapsed="false">
      <c r="A10" s="3" t="s">
        <v>14</v>
      </c>
      <c r="B10" s="4" t="s">
        <v>15</v>
      </c>
    </row>
    <row r="11" customFormat="false" ht="45" hidden="false" customHeight="true" outlineLevel="0" collapsed="false">
      <c r="A11" s="3" t="s">
        <v>16</v>
      </c>
      <c r="B11" s="4" t="s">
        <v>17</v>
      </c>
    </row>
    <row r="12" customFormat="false" ht="45" hidden="false" customHeight="true" outlineLevel="0" collapsed="false">
      <c r="A12" s="3" t="s">
        <v>18</v>
      </c>
      <c r="B12"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5"/>
    <col collapsed="false" customWidth="true" hidden="false" outlineLevel="0" max="4" min="4" style="0" width="16"/>
    <col collapsed="false" customWidth="true" hidden="false" outlineLevel="0" max="5" min="5" style="0" width="13"/>
    <col collapsed="false" customWidth="true" hidden="false" outlineLevel="0" max="6" min="6" style="0" width="18"/>
    <col collapsed="false" customWidth="true" hidden="false" outlineLevel="0" max="7" min="7" style="0" width="44"/>
  </cols>
  <sheetData>
    <row r="1" customFormat="false" ht="17.35" hidden="false" customHeight="false" outlineLevel="0" collapsed="false">
      <c r="A1" s="1" t="s">
        <v>20</v>
      </c>
    </row>
    <row r="2" customFormat="false" ht="15" hidden="false" customHeight="false" outlineLevel="0" collapsed="false">
      <c r="A2" s="2" t="str">
        <f aca="false">"Reporting year "&amp;Company_Inputs!$B$6&amp;" · fictional data · all values formula-linked"</f>
        <v>Reporting year 2025 · fictional data · all values formula-linked</v>
      </c>
    </row>
    <row r="4" customFormat="false" ht="30" hidden="false" customHeight="true" outlineLevel="0" collapsed="false">
      <c r="A4" s="5" t="s">
        <v>21</v>
      </c>
      <c r="B4" s="5" t="s">
        <v>22</v>
      </c>
      <c r="C4" s="5" t="s">
        <v>23</v>
      </c>
      <c r="D4" s="5" t="s">
        <v>24</v>
      </c>
      <c r="E4" s="5" t="s">
        <v>25</v>
      </c>
      <c r="F4" s="5" t="s">
        <v>26</v>
      </c>
      <c r="G4" s="5" t="s">
        <v>27</v>
      </c>
    </row>
    <row r="5" customFormat="false" ht="15" hidden="false" customHeight="false" outlineLevel="0" collapsed="false">
      <c r="A5" s="6" t="s">
        <v>28</v>
      </c>
      <c r="B5" s="7"/>
      <c r="C5" s="7"/>
      <c r="D5" s="7"/>
      <c r="E5" s="7"/>
      <c r="F5" s="7"/>
      <c r="G5" s="7"/>
    </row>
    <row r="6" customFormat="false" ht="15" hidden="false" customHeight="false" outlineLevel="0" collapsed="false">
      <c r="A6" s="8" t="n">
        <v>1</v>
      </c>
      <c r="B6" s="8" t="s">
        <v>29</v>
      </c>
      <c r="C6" s="9" t="n">
        <f aca="false">GHG_Inventory!$G$55</f>
        <v>511098.447522727</v>
      </c>
      <c r="D6" s="8" t="s">
        <v>30</v>
      </c>
      <c r="E6" s="8" t="s">
        <v>31</v>
      </c>
      <c r="F6" s="8" t="s">
        <v>32</v>
      </c>
      <c r="G6" s="8" t="s">
        <v>33</v>
      </c>
    </row>
    <row r="7" customFormat="false" ht="15" hidden="false" customHeight="false" outlineLevel="0" collapsed="false">
      <c r="A7" s="8" t="n">
        <v>2</v>
      </c>
      <c r="B7" s="8" t="s">
        <v>34</v>
      </c>
      <c r="C7" s="9" t="n">
        <f aca="false">GHG_Inventory!$G$51</f>
        <v>202028.522727273</v>
      </c>
      <c r="D7" s="8" t="s">
        <v>30</v>
      </c>
      <c r="E7" s="8" t="s">
        <v>31</v>
      </c>
      <c r="F7" s="8" t="s">
        <v>32</v>
      </c>
      <c r="G7" s="8"/>
    </row>
    <row r="8" customFormat="false" ht="15" hidden="false" customHeight="false" outlineLevel="0" collapsed="false">
      <c r="A8" s="8" t="n">
        <v>3</v>
      </c>
      <c r="B8" s="8" t="s">
        <v>35</v>
      </c>
      <c r="C8" s="9" t="n">
        <f aca="false">GHG_Inventory!$G$53</f>
        <v>107900.079545455</v>
      </c>
      <c r="D8" s="8" t="s">
        <v>30</v>
      </c>
      <c r="E8" s="8" t="s">
        <v>31</v>
      </c>
      <c r="F8" s="8" t="s">
        <v>32</v>
      </c>
      <c r="G8" s="8" t="s">
        <v>36</v>
      </c>
    </row>
    <row r="9" customFormat="false" ht="15" hidden="false" customHeight="false" outlineLevel="0" collapsed="false">
      <c r="A9" s="8" t="n">
        <v>4</v>
      </c>
      <c r="B9" s="8" t="s">
        <v>37</v>
      </c>
      <c r="C9" s="9" t="n">
        <f aca="false">GHG_Inventory!$G$54</f>
        <v>201169.84525</v>
      </c>
      <c r="D9" s="8" t="s">
        <v>30</v>
      </c>
      <c r="E9" s="8" t="s">
        <v>31</v>
      </c>
      <c r="F9" s="8" t="s">
        <v>32</v>
      </c>
      <c r="G9" s="8"/>
    </row>
    <row r="10" customFormat="false" ht="15" hidden="false" customHeight="false" outlineLevel="0" collapsed="false">
      <c r="A10" s="8" t="n">
        <v>5</v>
      </c>
      <c r="B10" s="8" t="s">
        <v>38</v>
      </c>
      <c r="C10" s="10" t="n">
        <f aca="false">GHG_Inventory!$G$56</f>
        <v>0.393602927625904</v>
      </c>
      <c r="D10" s="8" t="s">
        <v>39</v>
      </c>
      <c r="E10" s="8" t="s">
        <v>31</v>
      </c>
      <c r="F10" s="8" t="s">
        <v>32</v>
      </c>
      <c r="G10" s="8" t="s">
        <v>40</v>
      </c>
    </row>
    <row r="11" customFormat="false" ht="15" hidden="false" customHeight="false" outlineLevel="0" collapsed="false">
      <c r="A11" s="6" t="s">
        <v>41</v>
      </c>
      <c r="B11" s="7"/>
      <c r="C11" s="7"/>
      <c r="D11" s="7"/>
      <c r="E11" s="7"/>
      <c r="F11" s="7"/>
      <c r="G11" s="7"/>
    </row>
    <row r="12" customFormat="false" ht="15" hidden="false" customHeight="false" outlineLevel="0" collapsed="false">
      <c r="A12" s="8" t="n">
        <v>6</v>
      </c>
      <c r="B12" s="8" t="s">
        <v>42</v>
      </c>
      <c r="C12" s="9" t="n">
        <f aca="false">PCF_Board!$G$21</f>
        <v>716.7375</v>
      </c>
      <c r="D12" s="8" t="s">
        <v>43</v>
      </c>
      <c r="E12" s="11" t="n">
        <v>550</v>
      </c>
      <c r="F12" s="8" t="str">
        <f aca="false">IF(C12&lt;=E12,"✔ On track","✖ Gap")</f>
        <v>✖ Gap</v>
      </c>
      <c r="G12" s="8" t="s">
        <v>44</v>
      </c>
    </row>
    <row r="13" customFormat="false" ht="15" hidden="false" customHeight="false" outlineLevel="0" collapsed="false">
      <c r="A13" s="8" t="n">
        <v>7</v>
      </c>
      <c r="B13" s="8" t="s">
        <v>45</v>
      </c>
      <c r="C13" s="9" t="n">
        <f aca="false">PCF_FoldingCarton!$G$21</f>
        <v>1056.58852272727</v>
      </c>
      <c r="D13" s="8" t="s">
        <v>43</v>
      </c>
      <c r="E13" s="11" t="n">
        <v>750</v>
      </c>
      <c r="F13" s="8" t="str">
        <f aca="false">IF(C13&lt;=E13,"✔ On track","✖ Gap")</f>
        <v>✖ Gap</v>
      </c>
      <c r="G13" s="8" t="s">
        <v>46</v>
      </c>
    </row>
    <row r="14" customFormat="false" ht="15" hidden="false" customHeight="false" outlineLevel="0" collapsed="false">
      <c r="A14" s="8" t="n">
        <v>8</v>
      </c>
      <c r="B14" s="8" t="s">
        <v>47</v>
      </c>
      <c r="C14" s="12" t="n">
        <f aca="false">PCF_GypsumBoard!$G$28</f>
        <v>2.262795</v>
      </c>
      <c r="D14" s="8" t="s">
        <v>48</v>
      </c>
      <c r="E14" s="13" t="n">
        <v>1.8</v>
      </c>
      <c r="F14" s="8" t="str">
        <f aca="false">IF(C14&lt;=E14,"✔ On track","✖ Gap")</f>
        <v>✖ Gap</v>
      </c>
      <c r="G14" s="8" t="s">
        <v>49</v>
      </c>
    </row>
    <row r="15" customFormat="false" ht="15" hidden="false" customHeight="false" outlineLevel="0" collapsed="false">
      <c r="A15" s="6" t="s">
        <v>50</v>
      </c>
      <c r="B15" s="7"/>
      <c r="C15" s="7"/>
      <c r="D15" s="7"/>
      <c r="E15" s="7"/>
      <c r="F15" s="7"/>
      <c r="G15" s="7"/>
    </row>
    <row r="16" customFormat="false" ht="15" hidden="false" customHeight="false" outlineLevel="0" collapsed="false">
      <c r="A16" s="8" t="n">
        <v>9</v>
      </c>
      <c r="B16" s="8" t="s">
        <v>51</v>
      </c>
      <c r="C16" s="10" t="n">
        <f aca="false">SUMIFS(Supplier_Register!$S$6:$S$21,Supplier_Register!$R$6:$R$21,"Supplier-specific")/Supplier_Register!$S$22</f>
        <v>0.524821480329899</v>
      </c>
      <c r="D16" s="8" t="s">
        <v>39</v>
      </c>
      <c r="E16" s="14" t="n">
        <v>0.5</v>
      </c>
      <c r="F16" s="8" t="str">
        <f aca="false">IF(C16&gt;=E16,"✔ On track","✖ Gap")</f>
        <v>✔ On track</v>
      </c>
      <c r="G16" s="8" t="s">
        <v>52</v>
      </c>
    </row>
    <row r="17" customFormat="false" ht="15" hidden="false" customHeight="false" outlineLevel="0" collapsed="false">
      <c r="A17" s="8" t="n">
        <v>10</v>
      </c>
      <c r="B17" s="8" t="s">
        <v>53</v>
      </c>
      <c r="C17" s="10" t="n">
        <f aca="false">SUMIFS(Supplier_Scorecard!$P$7:$P$22,Supplier_Scorecard!$D$7:$D$22,"&gt;0")/SUM(Supplier_Scorecard!$P$7:$P$22)</f>
        <v>0.635610766045549</v>
      </c>
      <c r="D17" s="8" t="s">
        <v>39</v>
      </c>
      <c r="E17" s="14" t="n">
        <v>0.8</v>
      </c>
      <c r="F17" s="8" t="str">
        <f aca="false">IF(C17&gt;=E17,"✔ On track","✖ Gap")</f>
        <v>✖ Gap</v>
      </c>
      <c r="G17" s="8" t="s">
        <v>54</v>
      </c>
    </row>
    <row r="18" customFormat="false" ht="15" hidden="false" customHeight="false" outlineLevel="0" collapsed="false">
      <c r="A18" s="8" t="n">
        <v>11</v>
      </c>
      <c r="B18" s="8" t="s">
        <v>55</v>
      </c>
      <c r="C18" s="10" t="n">
        <f aca="false">(SUMIFS(Supplier_Scorecard!$P$7:$P$22,Supplier_Scorecard!$O$7:$O$22,"A*")+SUMIFS(Supplier_Scorecard!$P$7:$P$22,Supplier_Scorecard!$O$7:$O$22,"B*"))/SUM(Supplier_Scorecard!$P$7:$P$22)</f>
        <v>0.452380952380952</v>
      </c>
      <c r="D18" s="8" t="s">
        <v>39</v>
      </c>
      <c r="E18" s="14" t="n">
        <v>0.75</v>
      </c>
      <c r="F18" s="8" t="str">
        <f aca="false">IF(C18&gt;=E18,"✔ On track","✖ Gap")</f>
        <v>✖ Gap</v>
      </c>
      <c r="G18" s="8" t="s">
        <v>56</v>
      </c>
    </row>
    <row r="19" customFormat="false" ht="15" hidden="false" customHeight="false" outlineLevel="0" collapsed="false">
      <c r="A19" s="8" t="n">
        <v>12</v>
      </c>
      <c r="B19" s="8" t="s">
        <v>57</v>
      </c>
      <c r="C19" s="10" t="n">
        <f aca="false">SUMIFS(Supplier_Scorecard!$Q$7:$Q$22,Supplier_Scorecard!$J$7:$J$22,"Y")/SUM(Supplier_Scorecard!$Q$7:$Q$22)</f>
        <v>0.458578166583226</v>
      </c>
      <c r="D19" s="8" t="s">
        <v>39</v>
      </c>
      <c r="E19" s="14" t="n">
        <v>0.67</v>
      </c>
      <c r="F19" s="8" t="str">
        <f aca="false">IF(C19&gt;=E19,"✔ On track","✖ Gap")</f>
        <v>✖ Gap</v>
      </c>
      <c r="G19" s="8" t="s">
        <v>58</v>
      </c>
    </row>
    <row r="20" customFormat="false" ht="15" hidden="false" customHeight="false" outlineLevel="0" collapsed="false">
      <c r="A20" s="8" t="n">
        <v>13</v>
      </c>
      <c r="B20" s="8" t="s">
        <v>59</v>
      </c>
      <c r="C20" s="9" t="n">
        <f aca="false">SUMPRODUCT(Supplier_Scorecard!$N$7:$N$22,Supplier_Scorecard!$P$7:$P$22)/SUM(Supplier_Scorecard!$P$7:$P$22)</f>
        <v>55.3134575569358</v>
      </c>
      <c r="D20" s="8" t="s">
        <v>60</v>
      </c>
      <c r="E20" s="11" t="n">
        <v>60</v>
      </c>
      <c r="F20" s="8" t="str">
        <f aca="false">IF(C20&gt;=E20,"✔ On track","✖ Gap")</f>
        <v>✖ Gap</v>
      </c>
      <c r="G20" s="8" t="s">
        <v>61</v>
      </c>
    </row>
    <row r="21" customFormat="false" ht="15" hidden="false" customHeight="false" outlineLevel="0" collapsed="false">
      <c r="A21" s="8" t="n">
        <v>14</v>
      </c>
      <c r="B21" s="8" t="s">
        <v>62</v>
      </c>
      <c r="C21" s="12" t="n">
        <f aca="false">Supplier_Register!$O$22</f>
        <v>2.175</v>
      </c>
      <c r="D21" s="8" t="s">
        <v>63</v>
      </c>
      <c r="E21" s="13" t="n">
        <v>2.5</v>
      </c>
      <c r="F21" s="8" t="str">
        <f aca="false">IF(C21&lt;=E21,"✔ On track","✖ Gap")</f>
        <v>✔ On track</v>
      </c>
      <c r="G21" s="8" t="s">
        <v>64</v>
      </c>
    </row>
    <row r="22" customFormat="false" ht="15" hidden="false" customHeight="false" outlineLevel="0" collapsed="false">
      <c r="A22" s="8" t="n">
        <v>15</v>
      </c>
      <c r="B22" s="8" t="s">
        <v>65</v>
      </c>
      <c r="C22" s="9" t="n">
        <f aca="false">COUNTIF(Supplier_Scorecard!$O$7:$O$22,"D*")</f>
        <v>5</v>
      </c>
      <c r="D22" s="8" t="s">
        <v>21</v>
      </c>
      <c r="E22" s="11" t="n">
        <v>0</v>
      </c>
      <c r="F22" s="8" t="str">
        <f aca="false">IF(C22&lt;=E22,"✔ On track","✖ Gap")</f>
        <v>✖ Gap</v>
      </c>
      <c r="G22" s="8"/>
    </row>
    <row r="23" customFormat="false" ht="15" hidden="false" customHeight="false" outlineLevel="0" collapsed="false">
      <c r="A23" s="6" t="s">
        <v>66</v>
      </c>
      <c r="B23" s="7"/>
      <c r="C23" s="7"/>
      <c r="D23" s="7"/>
      <c r="E23" s="7"/>
      <c r="F23" s="7"/>
      <c r="G23" s="7"/>
    </row>
    <row r="24" customFormat="false" ht="15" hidden="false" customHeight="false" outlineLevel="0" collapsed="false">
      <c r="A24" s="8" t="n">
        <v>16</v>
      </c>
      <c r="B24" s="8" t="s">
        <v>67</v>
      </c>
      <c r="C24" s="10" t="n">
        <f aca="false">1</f>
        <v>1</v>
      </c>
      <c r="D24" s="8" t="s">
        <v>39</v>
      </c>
      <c r="E24" s="14" t="n">
        <v>1</v>
      </c>
      <c r="F24" s="8" t="str">
        <f aca="false">IF(C24&gt;=E24,"✔ On track","✖ Gap")</f>
        <v>✔ On track</v>
      </c>
      <c r="G24" s="8" t="s">
        <v>68</v>
      </c>
    </row>
    <row r="25" customFormat="false" ht="15" hidden="false" customHeight="false" outlineLevel="0" collapsed="false">
      <c r="A25" s="8" t="n">
        <v>17</v>
      </c>
      <c r="B25" s="8" t="s">
        <v>69</v>
      </c>
      <c r="C25" s="9" t="n">
        <f aca="false">Company_Inputs!$B$16</f>
        <v>14318.1818181818</v>
      </c>
      <c r="D25" s="8" t="s">
        <v>70</v>
      </c>
      <c r="E25" s="8" t="s">
        <v>31</v>
      </c>
      <c r="F25" s="8" t="s">
        <v>32</v>
      </c>
      <c r="G25" s="8" t="s">
        <v>71</v>
      </c>
    </row>
    <row r="26" customFormat="false" ht="15" hidden="false" customHeight="false" outlineLevel="0" collapsed="false">
      <c r="A26" s="8" t="n">
        <v>18</v>
      </c>
      <c r="B26" s="8" t="s">
        <v>72</v>
      </c>
      <c r="C26" s="10" t="n">
        <f aca="false">PCF_GypsumBoard!$C$8</f>
        <v>0.2</v>
      </c>
      <c r="D26" s="8" t="s">
        <v>39</v>
      </c>
      <c r="E26" s="14" t="n">
        <v>0.3</v>
      </c>
      <c r="F26" s="8" t="str">
        <f aca="false">IF(C26&gt;=E26,"✔ On track","✖ Gap")</f>
        <v>✖ Gap</v>
      </c>
      <c r="G26" s="8" t="s">
        <v>73</v>
      </c>
    </row>
    <row r="27" customFormat="false" ht="15" hidden="false" customHeight="false" outlineLevel="0" collapsed="false">
      <c r="A27" s="8" t="n">
        <v>19</v>
      </c>
      <c r="B27" s="8" t="s">
        <v>74</v>
      </c>
      <c r="C27" s="10" t="n">
        <f aca="false">ABS(GHG_Inventory!$G$76)</f>
        <v>0.00135049783560892</v>
      </c>
      <c r="D27" s="8" t="s">
        <v>39</v>
      </c>
      <c r="E27" s="14" t="n">
        <v>0.02</v>
      </c>
      <c r="F27" s="8" t="str">
        <f aca="false">IF(C27&lt;=E27,"✔ On track","✖ Gap")</f>
        <v>✔ On track</v>
      </c>
      <c r="G27" s="8" t="s">
        <v>75</v>
      </c>
    </row>
    <row r="28" customFormat="false" ht="15" hidden="false" customHeight="false" outlineLevel="0" collapsed="false">
      <c r="A28" s="6" t="s">
        <v>76</v>
      </c>
      <c r="B28" s="7"/>
      <c r="C28" s="7"/>
      <c r="D28" s="7"/>
      <c r="E28" s="7"/>
      <c r="F28" s="7"/>
      <c r="G28" s="7"/>
    </row>
    <row r="29" customFormat="false" ht="15" hidden="false" customHeight="false" outlineLevel="0" collapsed="false">
      <c r="A29" s="8" t="n">
        <v>20</v>
      </c>
      <c r="B29" s="8" t="s">
        <v>77</v>
      </c>
      <c r="C29" s="9" t="n">
        <f aca="false">Decarbonisation!$F$15</f>
        <v>142271.192948864</v>
      </c>
      <c r="D29" s="8" t="s">
        <v>78</v>
      </c>
      <c r="E29" s="8" t="s">
        <v>31</v>
      </c>
      <c r="F29" s="8" t="s">
        <v>32</v>
      </c>
      <c r="G29" s="8" t="s">
        <v>79</v>
      </c>
    </row>
    <row r="30" customFormat="false" ht="15" hidden="false" customHeight="false" outlineLevel="0" collapsed="false">
      <c r="A30" s="8" t="n">
        <v>21</v>
      </c>
      <c r="B30" s="8" t="s">
        <v>80</v>
      </c>
      <c r="C30" s="10" t="n">
        <f aca="false">Decarbonisation!$F$16</f>
        <v>0.278363578755612</v>
      </c>
      <c r="D30" s="8" t="s">
        <v>39</v>
      </c>
      <c r="E30" s="14" t="n">
        <v>0.2</v>
      </c>
      <c r="F30" s="8" t="str">
        <f aca="false">IF(C30&gt;=E30,"✔ On track","✖ Gap")</f>
        <v>✔ On track</v>
      </c>
      <c r="G30" s="8"/>
    </row>
    <row r="33" customFormat="false" ht="15" hidden="false" customHeight="false" outlineLevel="0" collapsed="false">
      <c r="B33" s="15" t="s">
        <v>81</v>
      </c>
    </row>
    <row r="34" customFormat="false" ht="30" hidden="false" customHeight="true" outlineLevel="0" collapsed="false">
      <c r="A34" s="5"/>
      <c r="B34" s="5" t="s">
        <v>82</v>
      </c>
      <c r="C34" s="5" t="s">
        <v>30</v>
      </c>
    </row>
    <row r="35" customFormat="false" ht="15" hidden="false" customHeight="false" outlineLevel="0" collapsed="false">
      <c r="B35" s="8" t="s">
        <v>34</v>
      </c>
      <c r="C35" s="16" t="n">
        <f aca="false">GHG_Inventory!$G$51</f>
        <v>202028.522727273</v>
      </c>
    </row>
    <row r="36" customFormat="false" ht="15" hidden="false" customHeight="false" outlineLevel="0" collapsed="false">
      <c r="B36" s="8" t="s">
        <v>83</v>
      </c>
      <c r="C36" s="16" t="n">
        <f aca="false">GHG_Inventory!$G$53</f>
        <v>107900.079545455</v>
      </c>
    </row>
    <row r="37" customFormat="false" ht="15" hidden="false" customHeight="false" outlineLevel="0" collapsed="false">
      <c r="B37" s="8" t="s">
        <v>37</v>
      </c>
      <c r="C37" s="16" t="n">
        <f aca="false">GHG_Inventory!$G$54</f>
        <v>201169.84525</v>
      </c>
    </row>
  </sheetData>
  <conditionalFormatting sqref="F5:F31">
    <cfRule type="expression" priority="2" aboveAverage="0" equalAverage="0" bottom="0" percent="0" rank="0" text="" dxfId="0">
      <formula>LEFT(F5,1)="✔"</formula>
    </cfRule>
    <cfRule type="expression" priority="3" aboveAverage="0" equalAverage="0" bottom="0" percent="0" rank="0" text="" dxfId="1">
      <formula>LEFT(F5,1)="✖"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6"/>
    <col collapsed="false" customWidth="true" hidden="false" outlineLevel="0" max="3" min="3" style="0" width="14"/>
    <col collapsed="false" customWidth="true" hidden="false" outlineLevel="0" max="4" min="4" style="0" width="60"/>
  </cols>
  <sheetData>
    <row r="1" customFormat="false" ht="17.35" hidden="false" customHeight="false" outlineLevel="0" collapsed="false">
      <c r="A1" s="1" t="s">
        <v>84</v>
      </c>
    </row>
    <row r="2" customFormat="false" ht="15" hidden="false" customHeight="false" outlineLevel="0" collapsed="false">
      <c r="A2" s="2" t="s">
        <v>85</v>
      </c>
    </row>
    <row r="4" customFormat="false" ht="30" hidden="false" customHeight="true" outlineLevel="0" collapsed="false">
      <c r="A4" s="5" t="s">
        <v>86</v>
      </c>
      <c r="B4" s="5" t="s">
        <v>87</v>
      </c>
      <c r="C4" s="5" t="s">
        <v>24</v>
      </c>
      <c r="D4" s="5" t="s">
        <v>88</v>
      </c>
    </row>
    <row r="5" customFormat="false" ht="15" hidden="false" customHeight="false" outlineLevel="0" collapsed="false">
      <c r="A5" s="6" t="s">
        <v>89</v>
      </c>
      <c r="B5" s="7"/>
      <c r="C5" s="7"/>
      <c r="D5" s="7"/>
    </row>
    <row r="6" customFormat="false" ht="15" hidden="false" customHeight="false" outlineLevel="0" collapsed="false">
      <c r="A6" s="8" t="s">
        <v>90</v>
      </c>
      <c r="B6" s="17" t="s">
        <v>91</v>
      </c>
      <c r="C6" s="8"/>
      <c r="D6" s="4" t="s">
        <v>92</v>
      </c>
    </row>
    <row r="7" customFormat="false" ht="15" hidden="false" customHeight="false" outlineLevel="0" collapsed="false">
      <c r="A7" s="8" t="s">
        <v>93</v>
      </c>
      <c r="B7" s="11" t="n">
        <v>260000</v>
      </c>
      <c r="C7" s="8" t="s">
        <v>70</v>
      </c>
      <c r="D7" s="4" t="s">
        <v>94</v>
      </c>
    </row>
    <row r="8" customFormat="false" ht="15" hidden="false" customHeight="false" outlineLevel="0" collapsed="false">
      <c r="A8" s="8" t="s">
        <v>95</v>
      </c>
      <c r="B8" s="11" t="n">
        <v>105000</v>
      </c>
      <c r="C8" s="8" t="s">
        <v>70</v>
      </c>
      <c r="D8" s="4" t="s">
        <v>96</v>
      </c>
    </row>
    <row r="9" customFormat="false" ht="15" hidden="false" customHeight="false" outlineLevel="0" collapsed="false">
      <c r="A9" s="8" t="s">
        <v>97</v>
      </c>
      <c r="B9" s="11" t="n">
        <v>45000</v>
      </c>
      <c r="C9" s="8" t="s">
        <v>98</v>
      </c>
      <c r="D9" s="4" t="s">
        <v>99</v>
      </c>
    </row>
    <row r="10" customFormat="false" ht="15" hidden="false" customHeight="false" outlineLevel="0" collapsed="false">
      <c r="A10" s="8" t="s">
        <v>100</v>
      </c>
      <c r="B10" s="18" t="n">
        <v>8.5</v>
      </c>
      <c r="C10" s="8" t="s">
        <v>101</v>
      </c>
      <c r="D10" s="4" t="s">
        <v>102</v>
      </c>
    </row>
    <row r="11" customFormat="false" ht="15" hidden="false" customHeight="false" outlineLevel="0" collapsed="false">
      <c r="A11" s="8" t="s">
        <v>103</v>
      </c>
      <c r="B11" s="16" t="n">
        <f aca="false">B8*PCF_FoldingCarton!$C$10/1000</f>
        <v>119318.181818182</v>
      </c>
      <c r="C11" s="8" t="s">
        <v>70</v>
      </c>
      <c r="D11" s="4" t="s">
        <v>104</v>
      </c>
    </row>
    <row r="12" customFormat="false" ht="15" hidden="false" customHeight="false" outlineLevel="0" collapsed="false">
      <c r="A12" s="8" t="s">
        <v>105</v>
      </c>
      <c r="B12" s="16" t="n">
        <f aca="false">B9*PCF_GypsumBoard!$C$15/1000</f>
        <v>18000</v>
      </c>
      <c r="C12" s="8" t="s">
        <v>70</v>
      </c>
      <c r="D12" s="4" t="s">
        <v>106</v>
      </c>
    </row>
    <row r="13" customFormat="false" ht="15" hidden="false" customHeight="false" outlineLevel="0" collapsed="false">
      <c r="A13" s="8" t="s">
        <v>107</v>
      </c>
      <c r="B13" s="19" t="n">
        <f aca="false">B7+B11+B12</f>
        <v>397318.181818182</v>
      </c>
      <c r="C13" s="8" t="s">
        <v>70</v>
      </c>
      <c r="D13" s="4" t="s">
        <v>108</v>
      </c>
    </row>
    <row r="14" customFormat="false" ht="15" hidden="false" customHeight="false" outlineLevel="0" collapsed="false">
      <c r="A14" s="6" t="s">
        <v>109</v>
      </c>
      <c r="B14" s="7"/>
      <c r="C14" s="7"/>
      <c r="D14" s="7"/>
    </row>
    <row r="15" customFormat="false" ht="15" hidden="false" customHeight="false" outlineLevel="0" collapsed="false">
      <c r="A15" s="8" t="s">
        <v>110</v>
      </c>
      <c r="B15" s="16" t="n">
        <f aca="false">B13*PCF_Board!$C$5</f>
        <v>456915.909090909</v>
      </c>
      <c r="C15" s="8" t="s">
        <v>70</v>
      </c>
      <c r="D15" s="4" t="s">
        <v>111</v>
      </c>
    </row>
    <row r="16" customFormat="false" ht="15" hidden="false" customHeight="false" outlineLevel="0" collapsed="false">
      <c r="A16" s="8" t="s">
        <v>112</v>
      </c>
      <c r="B16" s="19" t="n">
        <f aca="false">B11-B8</f>
        <v>14318.1818181818</v>
      </c>
      <c r="C16" s="8" t="s">
        <v>70</v>
      </c>
      <c r="D16" s="4" t="s">
        <v>113</v>
      </c>
    </row>
    <row r="17" customFormat="false" ht="15" hidden="false" customHeight="false" outlineLevel="0" collapsed="false">
      <c r="A17" s="8" t="s">
        <v>114</v>
      </c>
      <c r="B17" s="19" t="n">
        <f aca="false">B15-B16</f>
        <v>442597.727272727</v>
      </c>
      <c r="C17" s="8" t="s">
        <v>70</v>
      </c>
      <c r="D17" s="4" t="s">
        <v>115</v>
      </c>
    </row>
    <row r="18" customFormat="false" ht="15" hidden="false" customHeight="false" outlineLevel="0" collapsed="false">
      <c r="A18" s="8" t="s">
        <v>116</v>
      </c>
      <c r="B18" s="16" t="n">
        <f aca="false">B9*PCF_GypsumBoard!$C$5/1000</f>
        <v>405000</v>
      </c>
      <c r="C18" s="8" t="s">
        <v>70</v>
      </c>
      <c r="D18" s="4" t="s">
        <v>117</v>
      </c>
    </row>
    <row r="19" customFormat="false" ht="15" hidden="false" customHeight="false" outlineLevel="0" collapsed="false">
      <c r="A19" s="6" t="s">
        <v>118</v>
      </c>
      <c r="B19" s="7"/>
      <c r="C19" s="7"/>
      <c r="D19" s="7"/>
    </row>
    <row r="20" customFormat="false" ht="15" hidden="false" customHeight="false" outlineLevel="0" collapsed="false">
      <c r="A20" s="8" t="s">
        <v>119</v>
      </c>
      <c r="B20" s="11" t="n">
        <v>1500000</v>
      </c>
      <c r="C20" s="8" t="s">
        <v>120</v>
      </c>
      <c r="D20" s="4" t="s">
        <v>121</v>
      </c>
    </row>
    <row r="21" customFormat="false" ht="15" hidden="false" customHeight="false" outlineLevel="0" collapsed="false">
      <c r="A21" s="8" t="s">
        <v>122</v>
      </c>
      <c r="B21" s="14" t="n">
        <v>0.25</v>
      </c>
      <c r="C21" s="8" t="s">
        <v>39</v>
      </c>
      <c r="D21" s="4" t="s">
        <v>123</v>
      </c>
    </row>
    <row r="22" customFormat="false" ht="15" hidden="false" customHeight="false" outlineLevel="0" collapsed="false">
      <c r="A22" s="8" t="s">
        <v>124</v>
      </c>
      <c r="B22" s="11" t="n">
        <v>60000000</v>
      </c>
      <c r="C22" s="8" t="s">
        <v>125</v>
      </c>
      <c r="D22" s="4" t="s">
        <v>126</v>
      </c>
    </row>
    <row r="23" customFormat="false" ht="15" hidden="false" customHeight="false" outlineLevel="0" collapsed="false">
      <c r="A23" s="8" t="s">
        <v>127</v>
      </c>
      <c r="B23" s="11" t="n">
        <v>35000000</v>
      </c>
      <c r="C23" s="8" t="s">
        <v>125</v>
      </c>
      <c r="D23" s="4" t="s">
        <v>128</v>
      </c>
    </row>
    <row r="24" customFormat="false" ht="15" hidden="false" customHeight="false" outlineLevel="0" collapsed="false">
      <c r="A24" s="8" t="s">
        <v>129</v>
      </c>
      <c r="B24" s="11" t="n">
        <v>4200000</v>
      </c>
      <c r="C24" s="8" t="s">
        <v>130</v>
      </c>
      <c r="D24" s="4" t="s">
        <v>131</v>
      </c>
    </row>
    <row r="25" customFormat="false" ht="15" hidden="false" customHeight="false" outlineLevel="0" collapsed="false">
      <c r="A25" s="8" t="s">
        <v>132</v>
      </c>
      <c r="B25" s="11" t="n">
        <v>2800</v>
      </c>
      <c r="C25" s="8" t="s">
        <v>133</v>
      </c>
      <c r="D25" s="4" t="s">
        <v>134</v>
      </c>
    </row>
    <row r="26" customFormat="false" ht="15" hidden="false" customHeight="false" outlineLevel="0" collapsed="false">
      <c r="A26" s="8" t="s">
        <v>135</v>
      </c>
      <c r="B26" s="11" t="n">
        <v>18</v>
      </c>
      <c r="C26" s="8" t="s">
        <v>136</v>
      </c>
      <c r="D26" s="4" t="s">
        <v>137</v>
      </c>
    </row>
    <row r="27" customFormat="false" ht="15" hidden="false" customHeight="false" outlineLevel="0" collapsed="false">
      <c r="A27" s="8" t="s">
        <v>138</v>
      </c>
      <c r="B27" s="11" t="n">
        <v>210</v>
      </c>
      <c r="C27" s="8" t="s">
        <v>139</v>
      </c>
      <c r="D27" s="4" t="s">
        <v>134</v>
      </c>
    </row>
    <row r="28" customFormat="false" ht="15" hidden="false" customHeight="false" outlineLevel="0" collapsed="false">
      <c r="A28" s="8" t="s">
        <v>140</v>
      </c>
      <c r="B28" s="11" t="n">
        <v>200</v>
      </c>
      <c r="C28" s="8" t="s">
        <v>136</v>
      </c>
      <c r="D28" s="4" t="s">
        <v>141</v>
      </c>
    </row>
    <row r="29" customFormat="false" ht="15" hidden="false" customHeight="false" outlineLevel="0" collapsed="false">
      <c r="A29" s="8" t="s">
        <v>142</v>
      </c>
      <c r="B29" s="11" t="n">
        <v>300</v>
      </c>
      <c r="C29" s="8" t="s">
        <v>136</v>
      </c>
      <c r="D29" s="4" t="s">
        <v>143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0"/>
    <col collapsed="false" customWidth="true" hidden="false" outlineLevel="0" max="4" min="4" style="0" width="12"/>
    <col collapsed="false" customWidth="true" hidden="false" outlineLevel="0" max="5" min="5" style="0" width="18"/>
    <col collapsed="false" customWidth="true" hidden="false" outlineLevel="0" max="6" min="6" style="0" width="46"/>
    <col collapsed="false" customWidth="true" hidden="false" outlineLevel="0" max="7" min="7" style="0" width="40"/>
  </cols>
  <sheetData>
    <row r="1" customFormat="false" ht="17.35" hidden="false" customHeight="false" outlineLevel="0" collapsed="false">
      <c r="A1" s="1" t="s">
        <v>144</v>
      </c>
    </row>
    <row r="2" customFormat="false" ht="15" hidden="false" customHeight="false" outlineLevel="0" collapsed="false">
      <c r="A2" s="2" t="s">
        <v>145</v>
      </c>
    </row>
    <row r="4" customFormat="false" ht="30" hidden="false" customHeight="true" outlineLevel="0" collapsed="false">
      <c r="A4" s="5" t="s">
        <v>146</v>
      </c>
      <c r="B4" s="5" t="s">
        <v>147</v>
      </c>
      <c r="C4" s="5" t="s">
        <v>24</v>
      </c>
      <c r="D4" s="5" t="s">
        <v>148</v>
      </c>
      <c r="E4" s="5" t="s">
        <v>149</v>
      </c>
      <c r="F4" s="5" t="s">
        <v>150</v>
      </c>
      <c r="G4" s="5" t="s">
        <v>151</v>
      </c>
    </row>
    <row r="5" customFormat="false" ht="15" hidden="false" customHeight="false" outlineLevel="0" collapsed="false">
      <c r="A5" s="8" t="s">
        <v>152</v>
      </c>
      <c r="B5" s="8" t="s">
        <v>153</v>
      </c>
      <c r="C5" s="8" t="s">
        <v>154</v>
      </c>
      <c r="D5" s="20" t="n">
        <v>0.201</v>
      </c>
      <c r="E5" s="8" t="s">
        <v>34</v>
      </c>
      <c r="F5" s="4" t="s">
        <v>155</v>
      </c>
      <c r="G5" s="4" t="s">
        <v>156</v>
      </c>
    </row>
    <row r="6" customFormat="false" ht="15" hidden="false" customHeight="false" outlineLevel="0" collapsed="false">
      <c r="A6" s="8" t="s">
        <v>157</v>
      </c>
      <c r="B6" s="8" t="s">
        <v>158</v>
      </c>
      <c r="C6" s="8" t="s">
        <v>154</v>
      </c>
      <c r="D6" s="20" t="n">
        <v>0.03</v>
      </c>
      <c r="E6" s="8" t="s">
        <v>159</v>
      </c>
      <c r="F6" s="4" t="s">
        <v>160</v>
      </c>
      <c r="G6" s="4"/>
    </row>
    <row r="7" customFormat="false" ht="15" hidden="false" customHeight="false" outlineLevel="0" collapsed="false">
      <c r="A7" s="8" t="s">
        <v>161</v>
      </c>
      <c r="B7" s="8" t="s">
        <v>162</v>
      </c>
      <c r="C7" s="8" t="s">
        <v>154</v>
      </c>
      <c r="D7" s="20" t="n">
        <v>0.363</v>
      </c>
      <c r="E7" s="8" t="s">
        <v>163</v>
      </c>
      <c r="F7" s="4" t="s">
        <v>164</v>
      </c>
      <c r="G7" s="4"/>
    </row>
    <row r="8" customFormat="false" ht="15" hidden="false" customHeight="false" outlineLevel="0" collapsed="false">
      <c r="A8" s="8" t="s">
        <v>165</v>
      </c>
      <c r="B8" s="8" t="s">
        <v>166</v>
      </c>
      <c r="C8" s="8" t="s">
        <v>154</v>
      </c>
      <c r="D8" s="20" t="n">
        <v>0.045</v>
      </c>
      <c r="E8" s="8" t="s">
        <v>159</v>
      </c>
      <c r="F8" s="4" t="s">
        <v>167</v>
      </c>
      <c r="G8" s="4"/>
    </row>
    <row r="9" customFormat="false" ht="15" hidden="false" customHeight="false" outlineLevel="0" collapsed="false">
      <c r="A9" s="8" t="s">
        <v>168</v>
      </c>
      <c r="B9" s="8" t="s">
        <v>169</v>
      </c>
      <c r="C9" s="8" t="s">
        <v>154</v>
      </c>
      <c r="D9" s="20" t="n">
        <v>0</v>
      </c>
      <c r="E9" s="8" t="s">
        <v>170</v>
      </c>
      <c r="F9" s="4" t="s">
        <v>171</v>
      </c>
      <c r="G9" s="4" t="s">
        <v>172</v>
      </c>
    </row>
    <row r="10" customFormat="false" ht="15" hidden="false" customHeight="false" outlineLevel="0" collapsed="false">
      <c r="A10" s="8" t="s">
        <v>173</v>
      </c>
      <c r="B10" s="8" t="s">
        <v>174</v>
      </c>
      <c r="C10" s="8" t="s">
        <v>175</v>
      </c>
      <c r="D10" s="20" t="n">
        <v>0.095</v>
      </c>
      <c r="E10" s="8" t="s">
        <v>176</v>
      </c>
      <c r="F10" s="4" t="s">
        <v>177</v>
      </c>
      <c r="G10" s="4"/>
    </row>
    <row r="11" customFormat="false" ht="15" hidden="false" customHeight="false" outlineLevel="0" collapsed="false">
      <c r="A11" s="8" t="s">
        <v>178</v>
      </c>
      <c r="B11" s="8" t="s">
        <v>179</v>
      </c>
      <c r="C11" s="8" t="s">
        <v>175</v>
      </c>
      <c r="D11" s="20" t="n">
        <v>0.028</v>
      </c>
      <c r="E11" s="8" t="s">
        <v>180</v>
      </c>
      <c r="F11" s="4" t="s">
        <v>181</v>
      </c>
      <c r="G11" s="4"/>
    </row>
    <row r="12" customFormat="false" ht="15" hidden="false" customHeight="false" outlineLevel="0" collapsed="false">
      <c r="A12" s="8" t="s">
        <v>182</v>
      </c>
      <c r="B12" s="8" t="s">
        <v>183</v>
      </c>
      <c r="C12" s="8" t="s">
        <v>184</v>
      </c>
      <c r="D12" s="20" t="n">
        <v>0.015</v>
      </c>
      <c r="E12" s="8" t="s">
        <v>185</v>
      </c>
      <c r="F12" s="4" t="s">
        <v>186</v>
      </c>
      <c r="G12" s="4" t="s">
        <v>187</v>
      </c>
    </row>
    <row r="13" customFormat="false" ht="15" hidden="false" customHeight="false" outlineLevel="0" collapsed="false">
      <c r="A13" s="8" t="s">
        <v>188</v>
      </c>
      <c r="B13" s="8" t="s">
        <v>189</v>
      </c>
      <c r="C13" s="8" t="s">
        <v>184</v>
      </c>
      <c r="D13" s="20" t="n">
        <v>0.85</v>
      </c>
      <c r="E13" s="8" t="s">
        <v>185</v>
      </c>
      <c r="F13" s="4" t="s">
        <v>190</v>
      </c>
      <c r="G13" s="4"/>
    </row>
    <row r="14" customFormat="false" ht="15" hidden="false" customHeight="false" outlineLevel="0" collapsed="false">
      <c r="A14" s="8" t="s">
        <v>191</v>
      </c>
      <c r="B14" s="8" t="s">
        <v>192</v>
      </c>
      <c r="C14" s="8" t="s">
        <v>184</v>
      </c>
      <c r="D14" s="20" t="n">
        <v>0.08</v>
      </c>
      <c r="E14" s="8" t="s">
        <v>185</v>
      </c>
      <c r="F14" s="4" t="s">
        <v>190</v>
      </c>
      <c r="G14" s="4"/>
    </row>
    <row r="15" customFormat="false" ht="15" hidden="false" customHeight="false" outlineLevel="0" collapsed="false">
      <c r="A15" s="8" t="s">
        <v>193</v>
      </c>
      <c r="B15" s="8" t="s">
        <v>194</v>
      </c>
      <c r="C15" s="8" t="s">
        <v>184</v>
      </c>
      <c r="D15" s="20" t="n">
        <v>2</v>
      </c>
      <c r="E15" s="8" t="s">
        <v>185</v>
      </c>
      <c r="F15" s="4" t="s">
        <v>195</v>
      </c>
      <c r="G15" s="4" t="s">
        <v>196</v>
      </c>
    </row>
    <row r="16" customFormat="false" ht="15" hidden="false" customHeight="false" outlineLevel="0" collapsed="false">
      <c r="A16" s="8" t="s">
        <v>197</v>
      </c>
      <c r="B16" s="8" t="s">
        <v>198</v>
      </c>
      <c r="C16" s="8" t="s">
        <v>184</v>
      </c>
      <c r="D16" s="20" t="n">
        <v>3.2</v>
      </c>
      <c r="E16" s="8" t="s">
        <v>185</v>
      </c>
      <c r="F16" s="4" t="s">
        <v>199</v>
      </c>
      <c r="G16" s="4"/>
    </row>
    <row r="17" customFormat="false" ht="15" hidden="false" customHeight="false" outlineLevel="0" collapsed="false">
      <c r="A17" s="8" t="s">
        <v>200</v>
      </c>
      <c r="B17" s="8" t="s">
        <v>201</v>
      </c>
      <c r="C17" s="8" t="s">
        <v>184</v>
      </c>
      <c r="D17" s="20" t="n">
        <v>2.5</v>
      </c>
      <c r="E17" s="8" t="s">
        <v>185</v>
      </c>
      <c r="F17" s="4" t="s">
        <v>199</v>
      </c>
      <c r="G17" s="4"/>
    </row>
    <row r="18" customFormat="false" ht="15" hidden="false" customHeight="false" outlineLevel="0" collapsed="false">
      <c r="A18" s="8" t="s">
        <v>202</v>
      </c>
      <c r="B18" s="8" t="s">
        <v>203</v>
      </c>
      <c r="C18" s="8" t="s">
        <v>184</v>
      </c>
      <c r="D18" s="20" t="n">
        <v>1.8</v>
      </c>
      <c r="E18" s="8" t="s">
        <v>185</v>
      </c>
      <c r="F18" s="4" t="s">
        <v>199</v>
      </c>
      <c r="G18" s="4"/>
    </row>
    <row r="19" customFormat="false" ht="15" hidden="false" customHeight="false" outlineLevel="0" collapsed="false">
      <c r="A19" s="8" t="s">
        <v>204</v>
      </c>
      <c r="B19" s="8" t="s">
        <v>205</v>
      </c>
      <c r="C19" s="8" t="s">
        <v>184</v>
      </c>
      <c r="D19" s="20" t="n">
        <v>2.6</v>
      </c>
      <c r="E19" s="8" t="s">
        <v>185</v>
      </c>
      <c r="F19" s="4" t="s">
        <v>206</v>
      </c>
      <c r="G19" s="4"/>
    </row>
    <row r="20" customFormat="false" ht="15" hidden="false" customHeight="false" outlineLevel="0" collapsed="false">
      <c r="A20" s="8" t="s">
        <v>207</v>
      </c>
      <c r="B20" s="8" t="s">
        <v>208</v>
      </c>
      <c r="C20" s="8" t="s">
        <v>184</v>
      </c>
      <c r="D20" s="20" t="n">
        <v>0.004</v>
      </c>
      <c r="E20" s="8" t="s">
        <v>185</v>
      </c>
      <c r="F20" s="4" t="s">
        <v>209</v>
      </c>
      <c r="G20" s="4"/>
    </row>
    <row r="21" customFormat="false" ht="15" hidden="false" customHeight="false" outlineLevel="0" collapsed="false">
      <c r="A21" s="8" t="s">
        <v>210</v>
      </c>
      <c r="B21" s="8" t="s">
        <v>211</v>
      </c>
      <c r="C21" s="8" t="s">
        <v>184</v>
      </c>
      <c r="D21" s="20" t="n">
        <v>0.002</v>
      </c>
      <c r="E21" s="8" t="s">
        <v>185</v>
      </c>
      <c r="F21" s="4" t="s">
        <v>212</v>
      </c>
      <c r="G21" s="4" t="s">
        <v>213</v>
      </c>
    </row>
    <row r="22" customFormat="false" ht="15" hidden="false" customHeight="false" outlineLevel="0" collapsed="false">
      <c r="A22" s="8" t="s">
        <v>214</v>
      </c>
      <c r="B22" s="8" t="s">
        <v>215</v>
      </c>
      <c r="C22" s="8" t="s">
        <v>184</v>
      </c>
      <c r="D22" s="20" t="n">
        <v>0.008</v>
      </c>
      <c r="E22" s="8" t="s">
        <v>185</v>
      </c>
      <c r="F22" s="4" t="s">
        <v>209</v>
      </c>
      <c r="G22" s="4" t="s">
        <v>216</v>
      </c>
    </row>
    <row r="23" customFormat="false" ht="15" hidden="false" customHeight="false" outlineLevel="0" collapsed="false">
      <c r="A23" s="8" t="s">
        <v>217</v>
      </c>
      <c r="B23" s="8" t="s">
        <v>218</v>
      </c>
      <c r="C23" s="8" t="s">
        <v>184</v>
      </c>
      <c r="D23" s="20" t="n">
        <v>1.6</v>
      </c>
      <c r="E23" s="8" t="s">
        <v>185</v>
      </c>
      <c r="F23" s="4" t="s">
        <v>190</v>
      </c>
      <c r="G23" s="4"/>
    </row>
    <row r="24" customFormat="false" ht="15" hidden="false" customHeight="false" outlineLevel="0" collapsed="false">
      <c r="A24" s="8" t="s">
        <v>219</v>
      </c>
      <c r="B24" s="8" t="s">
        <v>220</v>
      </c>
      <c r="C24" s="8" t="s">
        <v>184</v>
      </c>
      <c r="D24" s="20" t="n">
        <v>2.3</v>
      </c>
      <c r="E24" s="8" t="s">
        <v>185</v>
      </c>
      <c r="F24" s="4" t="s">
        <v>195</v>
      </c>
      <c r="G24" s="4"/>
    </row>
    <row r="25" customFormat="false" ht="15" hidden="false" customHeight="false" outlineLevel="0" collapsed="false">
      <c r="A25" s="8" t="s">
        <v>221</v>
      </c>
      <c r="B25" s="8" t="s">
        <v>222</v>
      </c>
      <c r="C25" s="8" t="s">
        <v>223</v>
      </c>
      <c r="D25" s="20" t="n">
        <v>0.3</v>
      </c>
      <c r="E25" s="8" t="s">
        <v>224</v>
      </c>
      <c r="F25" s="4" t="s">
        <v>225</v>
      </c>
      <c r="G25" s="4"/>
    </row>
    <row r="26" customFormat="false" ht="15" hidden="false" customHeight="false" outlineLevel="0" collapsed="false">
      <c r="A26" s="8" t="s">
        <v>226</v>
      </c>
      <c r="B26" s="8" t="s">
        <v>227</v>
      </c>
      <c r="C26" s="8" t="s">
        <v>184</v>
      </c>
      <c r="D26" s="20" t="n">
        <v>0.6</v>
      </c>
      <c r="E26" s="8" t="s">
        <v>224</v>
      </c>
      <c r="F26" s="4" t="s">
        <v>228</v>
      </c>
      <c r="G26" s="4" t="s">
        <v>229</v>
      </c>
    </row>
    <row r="27" customFormat="false" ht="15" hidden="false" customHeight="false" outlineLevel="0" collapsed="false">
      <c r="A27" s="8" t="s">
        <v>230</v>
      </c>
      <c r="B27" s="8" t="s">
        <v>231</v>
      </c>
      <c r="C27" s="8" t="s">
        <v>125</v>
      </c>
      <c r="D27" s="20" t="n">
        <v>0.25</v>
      </c>
      <c r="E27" s="8" t="s">
        <v>185</v>
      </c>
      <c r="F27" s="4" t="s">
        <v>232</v>
      </c>
      <c r="G27" s="4" t="s">
        <v>233</v>
      </c>
    </row>
    <row r="28" customFormat="false" ht="15" hidden="false" customHeight="false" outlineLevel="0" collapsed="false">
      <c r="A28" s="8" t="s">
        <v>234</v>
      </c>
      <c r="B28" s="8" t="s">
        <v>235</v>
      </c>
      <c r="C28" s="8" t="s">
        <v>125</v>
      </c>
      <c r="D28" s="20" t="n">
        <v>0.35</v>
      </c>
      <c r="E28" s="8" t="s">
        <v>236</v>
      </c>
      <c r="F28" s="4" t="s">
        <v>232</v>
      </c>
      <c r="G28" s="4"/>
    </row>
    <row r="29" customFormat="false" ht="15" hidden="false" customHeight="false" outlineLevel="0" collapsed="false">
      <c r="A29" s="8" t="s">
        <v>237</v>
      </c>
      <c r="B29" s="8" t="s">
        <v>238</v>
      </c>
      <c r="C29" s="8" t="s">
        <v>130</v>
      </c>
      <c r="D29" s="20" t="n">
        <v>0.15</v>
      </c>
      <c r="E29" s="8" t="s">
        <v>239</v>
      </c>
      <c r="F29" s="4" t="s">
        <v>240</v>
      </c>
      <c r="G29" s="4"/>
    </row>
    <row r="30" customFormat="false" ht="15" hidden="false" customHeight="false" outlineLevel="0" collapsed="false">
      <c r="A30" s="8" t="s">
        <v>241</v>
      </c>
      <c r="B30" s="8" t="s">
        <v>242</v>
      </c>
      <c r="C30" s="8" t="s">
        <v>130</v>
      </c>
      <c r="D30" s="20" t="n">
        <v>0.17</v>
      </c>
      <c r="E30" s="8" t="s">
        <v>243</v>
      </c>
      <c r="F30" s="4" t="s">
        <v>244</v>
      </c>
      <c r="G30" s="4"/>
    </row>
    <row r="31" customFormat="false" ht="15" hidden="false" customHeight="false" outlineLevel="0" collapsed="false">
      <c r="A31" s="8" t="s">
        <v>245</v>
      </c>
      <c r="B31" s="8" t="s">
        <v>246</v>
      </c>
      <c r="C31" s="8" t="s">
        <v>184</v>
      </c>
      <c r="D31" s="20" t="n">
        <v>0.03</v>
      </c>
      <c r="E31" s="8" t="s">
        <v>247</v>
      </c>
      <c r="F31" s="4" t="s">
        <v>248</v>
      </c>
      <c r="G31" s="4" t="s">
        <v>249</v>
      </c>
    </row>
    <row r="32" customFormat="false" ht="15" hidden="false" customHeight="false" outlineLevel="0" collapsed="false">
      <c r="A32" s="8" t="s">
        <v>250</v>
      </c>
      <c r="B32" s="8" t="s">
        <v>251</v>
      </c>
      <c r="C32" s="8" t="s">
        <v>184</v>
      </c>
      <c r="D32" s="20" t="n">
        <v>0.01</v>
      </c>
      <c r="E32" s="8" t="s">
        <v>247</v>
      </c>
      <c r="F32" s="4" t="s">
        <v>252</v>
      </c>
      <c r="G32" s="4"/>
    </row>
    <row r="33" customFormat="false" ht="15" hidden="false" customHeight="false" outlineLevel="0" collapsed="false">
      <c r="A33" s="8" t="s">
        <v>253</v>
      </c>
      <c r="B33" s="8" t="s">
        <v>254</v>
      </c>
      <c r="C33" s="8" t="s">
        <v>120</v>
      </c>
      <c r="D33" s="20" t="n">
        <v>2.65</v>
      </c>
      <c r="E33" s="8" t="s">
        <v>34</v>
      </c>
      <c r="F33" s="4" t="s">
        <v>255</v>
      </c>
      <c r="G33" s="4" t="s">
        <v>256</v>
      </c>
    </row>
    <row r="34" customFormat="false" ht="15" hidden="false" customHeight="false" outlineLevel="0" collapsed="false">
      <c r="A34" s="8" t="s">
        <v>257</v>
      </c>
      <c r="B34" s="8" t="s">
        <v>258</v>
      </c>
      <c r="C34" s="8" t="s">
        <v>120</v>
      </c>
      <c r="D34" s="20" t="n">
        <v>0.62</v>
      </c>
      <c r="E34" s="8" t="s">
        <v>159</v>
      </c>
      <c r="F34" s="4" t="s">
        <v>259</v>
      </c>
      <c r="G34" s="4"/>
    </row>
    <row r="35" customFormat="false" ht="15" hidden="false" customHeight="false" outlineLevel="0" collapsed="false">
      <c r="A35" s="8" t="s">
        <v>260</v>
      </c>
      <c r="B35" s="8" t="s">
        <v>261</v>
      </c>
      <c r="C35" s="8" t="s">
        <v>154</v>
      </c>
      <c r="D35" s="20" t="n">
        <v>0.62</v>
      </c>
      <c r="E35" s="8" t="s">
        <v>170</v>
      </c>
      <c r="F35" s="4" t="s">
        <v>262</v>
      </c>
      <c r="G35" s="4"/>
    </row>
    <row r="36" customFormat="false" ht="15" hidden="false" customHeight="false" outlineLevel="0" collapsed="false">
      <c r="A36" s="8" t="s">
        <v>263</v>
      </c>
      <c r="B36" s="8" t="s">
        <v>264</v>
      </c>
      <c r="C36" s="8" t="s">
        <v>154</v>
      </c>
      <c r="D36" s="20" t="n">
        <v>0.03</v>
      </c>
      <c r="E36" s="8" t="s">
        <v>34</v>
      </c>
      <c r="F36" s="4" t="s">
        <v>265</v>
      </c>
      <c r="G36" s="4" t="s">
        <v>266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13"/>
    <col collapsed="false" customWidth="true" hidden="false" outlineLevel="0" max="7" min="7" style="0" width="14"/>
    <col collapsed="false" customWidth="true" hidden="false" outlineLevel="0" max="8" min="8" style="0" width="9"/>
    <col collapsed="false" customWidth="true" hidden="false" outlineLevel="0" max="9" min="9" style="0" width="16"/>
    <col collapsed="false" customWidth="true" hidden="false" outlineLevel="0" max="10" min="10" style="0" width="44"/>
  </cols>
  <sheetData>
    <row r="1" customFormat="false" ht="17.35" hidden="false" customHeight="false" outlineLevel="0" collapsed="false">
      <c r="A1" s="1" t="s">
        <v>267</v>
      </c>
    </row>
    <row r="2" customFormat="false" ht="15" hidden="false" customHeight="false" outlineLevel="0" collapsed="false">
      <c r="A2" s="2" t="s">
        <v>268</v>
      </c>
    </row>
    <row r="4" customFormat="false" ht="15" hidden="false" customHeight="false" outlineLevel="0" collapsed="false">
      <c r="A4" s="15" t="s">
        <v>269</v>
      </c>
    </row>
    <row r="5" customFormat="false" ht="15" hidden="false" customHeight="false" outlineLevel="0" collapsed="false">
      <c r="B5" s="8" t="s">
        <v>270</v>
      </c>
      <c r="C5" s="21" t="n">
        <v>1.15</v>
      </c>
      <c r="D5" s="8" t="s">
        <v>271</v>
      </c>
      <c r="J5" s="4" t="s">
        <v>272</v>
      </c>
    </row>
    <row r="6" customFormat="false" ht="15" hidden="false" customHeight="false" outlineLevel="0" collapsed="false">
      <c r="B6" s="8" t="s">
        <v>273</v>
      </c>
      <c r="C6" s="11" t="n">
        <v>150</v>
      </c>
      <c r="D6" s="8" t="s">
        <v>136</v>
      </c>
      <c r="J6" s="4" t="s">
        <v>274</v>
      </c>
    </row>
    <row r="7" customFormat="false" ht="15" hidden="false" customHeight="false" outlineLevel="0" collapsed="false">
      <c r="B7" s="8" t="s">
        <v>275</v>
      </c>
      <c r="C7" s="21" t="n">
        <v>0.4</v>
      </c>
      <c r="D7" s="8" t="s">
        <v>276</v>
      </c>
      <c r="J7" s="4" t="s">
        <v>277</v>
      </c>
    </row>
    <row r="9" customFormat="false" ht="30" hidden="false" customHeight="true" outlineLevel="0" collapsed="false">
      <c r="A9" s="5" t="s">
        <v>278</v>
      </c>
      <c r="B9" s="5" t="s">
        <v>279</v>
      </c>
      <c r="C9" s="5" t="s">
        <v>280</v>
      </c>
      <c r="D9" s="5" t="s">
        <v>24</v>
      </c>
      <c r="E9" s="5" t="s">
        <v>146</v>
      </c>
      <c r="F9" s="5" t="s">
        <v>281</v>
      </c>
      <c r="G9" s="5" t="s">
        <v>282</v>
      </c>
      <c r="H9" s="5" t="s">
        <v>283</v>
      </c>
      <c r="I9" s="5" t="s">
        <v>284</v>
      </c>
      <c r="J9" s="5" t="s">
        <v>285</v>
      </c>
    </row>
    <row r="10" customFormat="false" ht="23.85" hidden="false" customHeight="false" outlineLevel="0" collapsed="false">
      <c r="A10" s="8" t="s">
        <v>286</v>
      </c>
      <c r="B10" s="8" t="s">
        <v>287</v>
      </c>
      <c r="C10" s="22" t="n">
        <f aca="false">1000*$C$5</f>
        <v>1150</v>
      </c>
      <c r="D10" s="8" t="s">
        <v>184</v>
      </c>
      <c r="E10" s="8" t="s">
        <v>182</v>
      </c>
      <c r="F10" s="23" t="n">
        <f aca="false">VLOOKUP(E10,Emission_Factors!$A:$D,4,FALSE())</f>
        <v>0.015</v>
      </c>
      <c r="G10" s="22" t="n">
        <f aca="false">C10*F10</f>
        <v>17.25</v>
      </c>
      <c r="H10" s="24" t="n">
        <f aca="false">IFERROR(G10/$G$21,0)</f>
        <v>0.0240673886883273</v>
      </c>
      <c r="I10" s="8" t="s">
        <v>185</v>
      </c>
      <c r="J10" s="4" t="s">
        <v>288</v>
      </c>
    </row>
    <row r="11" customFormat="false" ht="15" hidden="false" customHeight="false" outlineLevel="0" collapsed="false">
      <c r="A11" s="8" t="s">
        <v>286</v>
      </c>
      <c r="B11" s="8" t="s">
        <v>289</v>
      </c>
      <c r="C11" s="18" t="n">
        <v>40</v>
      </c>
      <c r="D11" s="8" t="s">
        <v>184</v>
      </c>
      <c r="E11" s="8" t="s">
        <v>188</v>
      </c>
      <c r="F11" s="23" t="n">
        <f aca="false">VLOOKUP(E11,Emission_Factors!$A:$D,4,FALSE())</f>
        <v>0.85</v>
      </c>
      <c r="G11" s="22" t="n">
        <f aca="false">C11*F11</f>
        <v>34</v>
      </c>
      <c r="H11" s="24" t="n">
        <f aca="false">IFERROR(G11/$G$21,0)</f>
        <v>0.0474371719074278</v>
      </c>
      <c r="I11" s="8" t="s">
        <v>185</v>
      </c>
      <c r="J11" s="4" t="s">
        <v>290</v>
      </c>
    </row>
    <row r="12" customFormat="false" ht="15" hidden="false" customHeight="false" outlineLevel="0" collapsed="false">
      <c r="A12" s="8" t="s">
        <v>286</v>
      </c>
      <c r="B12" s="8" t="s">
        <v>291</v>
      </c>
      <c r="C12" s="18" t="n">
        <v>30</v>
      </c>
      <c r="D12" s="8" t="s">
        <v>184</v>
      </c>
      <c r="E12" s="8" t="s">
        <v>191</v>
      </c>
      <c r="F12" s="23" t="n">
        <f aca="false">VLOOKUP(E12,Emission_Factors!$A:$D,4,FALSE())</f>
        <v>0.08</v>
      </c>
      <c r="G12" s="22" t="n">
        <f aca="false">C12*F12</f>
        <v>2.4</v>
      </c>
      <c r="H12" s="24" t="n">
        <f aca="false">IFERROR(G12/$G$21,0)</f>
        <v>0.00334850625228902</v>
      </c>
      <c r="I12" s="8" t="s">
        <v>185</v>
      </c>
      <c r="J12" s="4"/>
    </row>
    <row r="13" customFormat="false" ht="15" hidden="false" customHeight="false" outlineLevel="0" collapsed="false">
      <c r="A13" s="8" t="s">
        <v>286</v>
      </c>
      <c r="B13" s="8" t="s">
        <v>292</v>
      </c>
      <c r="C13" s="18" t="n">
        <v>10</v>
      </c>
      <c r="D13" s="8" t="s">
        <v>184</v>
      </c>
      <c r="E13" s="8" t="s">
        <v>193</v>
      </c>
      <c r="F13" s="23" t="n">
        <f aca="false">VLOOKUP(E13,Emission_Factors!$A:$D,4,FALSE())</f>
        <v>2</v>
      </c>
      <c r="G13" s="22" t="n">
        <f aca="false">C13*F13</f>
        <v>20</v>
      </c>
      <c r="H13" s="24" t="n">
        <f aca="false">IFERROR(G13/$G$21,0)</f>
        <v>0.0279042187690751</v>
      </c>
      <c r="I13" s="8" t="s">
        <v>185</v>
      </c>
      <c r="J13" s="4" t="s">
        <v>293</v>
      </c>
    </row>
    <row r="14" customFormat="false" ht="15" hidden="false" customHeight="false" outlineLevel="0" collapsed="false">
      <c r="A14" s="8" t="s">
        <v>294</v>
      </c>
      <c r="B14" s="8" t="s">
        <v>295</v>
      </c>
      <c r="C14" s="22" t="n">
        <f aca="false">$C$5*$C$6</f>
        <v>172.5</v>
      </c>
      <c r="D14" s="8" t="s">
        <v>175</v>
      </c>
      <c r="E14" s="8" t="s">
        <v>173</v>
      </c>
      <c r="F14" s="23" t="n">
        <f aca="false">VLOOKUP(E14,Emission_Factors!$A:$D,4,FALSE())</f>
        <v>0.095</v>
      </c>
      <c r="G14" s="22" t="n">
        <f aca="false">C14*F14</f>
        <v>16.3875</v>
      </c>
      <c r="H14" s="24" t="n">
        <f aca="false">IFERROR(G14/$G$21,0)</f>
        <v>0.0228640192539109</v>
      </c>
      <c r="I14" s="8" t="s">
        <v>180</v>
      </c>
      <c r="J14" s="4" t="s">
        <v>296</v>
      </c>
    </row>
    <row r="15" customFormat="false" ht="15" hidden="false" customHeight="false" outlineLevel="0" collapsed="false">
      <c r="A15" s="8" t="s">
        <v>297</v>
      </c>
      <c r="B15" s="8" t="s">
        <v>298</v>
      </c>
      <c r="C15" s="18" t="n">
        <v>1700</v>
      </c>
      <c r="D15" s="8" t="s">
        <v>154</v>
      </c>
      <c r="E15" s="8" t="s">
        <v>152</v>
      </c>
      <c r="F15" s="23" t="n">
        <f aca="false">VLOOKUP(E15,Emission_Factors!$A:$D,4,FALSE())</f>
        <v>0.201</v>
      </c>
      <c r="G15" s="22" t="n">
        <f aca="false">C15*F15</f>
        <v>341.7</v>
      </c>
      <c r="H15" s="24" t="n">
        <f aca="false">IFERROR(G15/$G$21,0)</f>
        <v>0.476743577669649</v>
      </c>
      <c r="I15" s="8" t="s">
        <v>34</v>
      </c>
      <c r="J15" s="4" t="s">
        <v>299</v>
      </c>
    </row>
    <row r="16" customFormat="false" ht="15" hidden="false" customHeight="false" outlineLevel="0" collapsed="false">
      <c r="A16" s="8" t="s">
        <v>297</v>
      </c>
      <c r="B16" s="8" t="s">
        <v>300</v>
      </c>
      <c r="C16" s="22" t="n">
        <f aca="false">$C$15</f>
        <v>1700</v>
      </c>
      <c r="D16" s="8" t="s">
        <v>154</v>
      </c>
      <c r="E16" s="8" t="s">
        <v>157</v>
      </c>
      <c r="F16" s="23" t="n">
        <f aca="false">VLOOKUP(E16,Emission_Factors!$A:$D,4,FALSE())</f>
        <v>0.03</v>
      </c>
      <c r="G16" s="22" t="n">
        <f aca="false">C16*F16</f>
        <v>51</v>
      </c>
      <c r="H16" s="24" t="n">
        <f aca="false">IFERROR(G16/$G$21,0)</f>
        <v>0.0711557578611416</v>
      </c>
      <c r="I16" s="8" t="s">
        <v>159</v>
      </c>
      <c r="J16" s="4"/>
    </row>
    <row r="17" customFormat="false" ht="15" hidden="false" customHeight="false" outlineLevel="0" collapsed="false">
      <c r="A17" s="8" t="s">
        <v>297</v>
      </c>
      <c r="B17" s="8" t="s">
        <v>301</v>
      </c>
      <c r="C17" s="18" t="n">
        <v>450</v>
      </c>
      <c r="D17" s="8" t="s">
        <v>154</v>
      </c>
      <c r="E17" s="8" t="s">
        <v>161</v>
      </c>
      <c r="F17" s="23" t="n">
        <f aca="false">VLOOKUP(E17,Emission_Factors!$A:$D,4,FALSE())</f>
        <v>0.363</v>
      </c>
      <c r="G17" s="22" t="n">
        <f aca="false">C17*F17</f>
        <v>163.35</v>
      </c>
      <c r="H17" s="24" t="n">
        <f aca="false">IFERROR(G17/$G$21,0)</f>
        <v>0.227907706796421</v>
      </c>
      <c r="I17" s="8" t="s">
        <v>302</v>
      </c>
      <c r="J17" s="4" t="s">
        <v>303</v>
      </c>
    </row>
    <row r="18" customFormat="false" ht="15" hidden="false" customHeight="false" outlineLevel="0" collapsed="false">
      <c r="A18" s="8" t="s">
        <v>297</v>
      </c>
      <c r="B18" s="8" t="s">
        <v>304</v>
      </c>
      <c r="C18" s="22" t="n">
        <f aca="false">$C$17</f>
        <v>450</v>
      </c>
      <c r="D18" s="8" t="s">
        <v>154</v>
      </c>
      <c r="E18" s="8" t="s">
        <v>165</v>
      </c>
      <c r="F18" s="23" t="n">
        <f aca="false">VLOOKUP(E18,Emission_Factors!$A:$D,4,FALSE())</f>
        <v>0.045</v>
      </c>
      <c r="G18" s="22" t="n">
        <f aca="false">C18*F18</f>
        <v>20.25</v>
      </c>
      <c r="H18" s="24" t="n">
        <f aca="false">IFERROR(G18/$G$21,0)</f>
        <v>0.0282530215036886</v>
      </c>
      <c r="I18" s="8" t="s">
        <v>159</v>
      </c>
      <c r="J18" s="4"/>
    </row>
    <row r="19" customFormat="false" ht="15" hidden="false" customHeight="false" outlineLevel="0" collapsed="false">
      <c r="A19" s="8" t="s">
        <v>297</v>
      </c>
      <c r="B19" s="8" t="s">
        <v>305</v>
      </c>
      <c r="C19" s="18" t="n">
        <v>8</v>
      </c>
      <c r="D19" s="8" t="s">
        <v>223</v>
      </c>
      <c r="E19" s="8" t="s">
        <v>221</v>
      </c>
      <c r="F19" s="23" t="n">
        <f aca="false">VLOOKUP(E19,Emission_Factors!$A:$D,4,FALSE())</f>
        <v>0.3</v>
      </c>
      <c r="G19" s="22" t="n">
        <f aca="false">C19*F19</f>
        <v>2.4</v>
      </c>
      <c r="H19" s="24" t="n">
        <f aca="false">IFERROR(G19/$G$21,0)</f>
        <v>0.00334850625228902</v>
      </c>
      <c r="I19" s="8" t="s">
        <v>224</v>
      </c>
      <c r="J19" s="4"/>
    </row>
    <row r="20" customFormat="false" ht="15" hidden="false" customHeight="false" outlineLevel="0" collapsed="false">
      <c r="A20" s="8" t="s">
        <v>297</v>
      </c>
      <c r="B20" s="8" t="s">
        <v>306</v>
      </c>
      <c r="C20" s="18" t="n">
        <v>80</v>
      </c>
      <c r="D20" s="8" t="s">
        <v>184</v>
      </c>
      <c r="E20" s="8" t="s">
        <v>226</v>
      </c>
      <c r="F20" s="23" t="n">
        <f aca="false">VLOOKUP(E20,Emission_Factors!$A:$D,4,FALSE())</f>
        <v>0.6</v>
      </c>
      <c r="G20" s="22" t="n">
        <f aca="false">C20*F20</f>
        <v>48</v>
      </c>
      <c r="H20" s="24" t="n">
        <f aca="false">IFERROR(G20/$G$21,0)</f>
        <v>0.0669701250457804</v>
      </c>
      <c r="I20" s="8" t="s">
        <v>224</v>
      </c>
      <c r="J20" s="4" t="s">
        <v>307</v>
      </c>
    </row>
    <row r="21" customFormat="false" ht="15" hidden="false" customHeight="false" outlineLevel="0" collapsed="false">
      <c r="A21" s="25" t="s">
        <v>308</v>
      </c>
      <c r="B21" s="26"/>
      <c r="C21" s="26"/>
      <c r="D21" s="26"/>
      <c r="E21" s="26"/>
      <c r="F21" s="26"/>
      <c r="G21" s="27" t="n">
        <f aca="false">SUM(G10:G20)</f>
        <v>716.7375</v>
      </c>
      <c r="H21" s="28" t="n">
        <f aca="false">SUM(H10:H20)</f>
        <v>1</v>
      </c>
      <c r="I21" s="26"/>
      <c r="J21" s="26"/>
    </row>
    <row r="23" customFormat="false" ht="15" hidden="false" customHeight="false" outlineLevel="0" collapsed="false">
      <c r="A23" s="29" t="s">
        <v>309</v>
      </c>
      <c r="B23" s="8" t="s">
        <v>310</v>
      </c>
      <c r="G23" s="22" t="n">
        <f aca="false">-1000*$C$7*44/12</f>
        <v>-1466.66666666667</v>
      </c>
    </row>
    <row r="24" customFormat="false" ht="15" hidden="false" customHeight="false" outlineLevel="0" collapsed="false">
      <c r="A24" s="29" t="s">
        <v>311</v>
      </c>
      <c r="B24" s="8" t="s">
        <v>312</v>
      </c>
      <c r="G24" s="30" t="n">
        <f aca="false">$G$21/1000</f>
        <v>0.7167375</v>
      </c>
    </row>
    <row r="26" customFormat="false" ht="15" hidden="false" customHeight="false" outlineLevel="0" collapsed="false">
      <c r="A26" s="15" t="s">
        <v>313</v>
      </c>
    </row>
    <row r="27" customFormat="false" ht="30" hidden="false" customHeight="true" outlineLevel="0" collapsed="false">
      <c r="A27" s="5" t="s">
        <v>278</v>
      </c>
      <c r="B27" s="5" t="s">
        <v>314</v>
      </c>
      <c r="C27" s="5" t="s">
        <v>283</v>
      </c>
    </row>
    <row r="28" customFormat="false" ht="15" hidden="false" customHeight="false" outlineLevel="0" collapsed="false">
      <c r="A28" s="8" t="s">
        <v>286</v>
      </c>
      <c r="B28" s="22" t="n">
        <f aca="false">SUMIF($A$10:$A$20,A28,$G$10:$G$20)</f>
        <v>73.65</v>
      </c>
      <c r="C28" s="24" t="n">
        <f aca="false">IFERROR(B28/$G$21,0)</f>
        <v>0.102757285617119</v>
      </c>
    </row>
    <row r="29" customFormat="false" ht="15" hidden="false" customHeight="false" outlineLevel="0" collapsed="false">
      <c r="A29" s="8" t="s">
        <v>294</v>
      </c>
      <c r="B29" s="22" t="n">
        <f aca="false">SUMIF($A$10:$A$20,A29,$G$10:$G$20)</f>
        <v>16.3875</v>
      </c>
      <c r="C29" s="24" t="n">
        <f aca="false">IFERROR(B29/$G$21,0)</f>
        <v>0.0228640192539109</v>
      </c>
    </row>
    <row r="30" customFormat="false" ht="15" hidden="false" customHeight="false" outlineLevel="0" collapsed="false">
      <c r="A30" s="8" t="s">
        <v>297</v>
      </c>
      <c r="B30" s="22" t="n">
        <f aca="false">SUMIF($A$10:$A$20,A30,$G$10:$G$20)</f>
        <v>626.7</v>
      </c>
      <c r="C30" s="24" t="n">
        <f aca="false">IFERROR(B30/$G$21,0)</f>
        <v>0.87437869512897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13"/>
    <col collapsed="false" customWidth="true" hidden="false" outlineLevel="0" max="7" min="7" style="0" width="14"/>
    <col collapsed="false" customWidth="true" hidden="false" outlineLevel="0" max="8" min="8" style="0" width="9"/>
    <col collapsed="false" customWidth="true" hidden="false" outlineLevel="0" max="9" min="9" style="0" width="16"/>
    <col collapsed="false" customWidth="true" hidden="false" outlineLevel="0" max="10" min="10" style="0" width="44"/>
  </cols>
  <sheetData>
    <row r="1" customFormat="false" ht="17.35" hidden="false" customHeight="false" outlineLevel="0" collapsed="false">
      <c r="A1" s="1" t="s">
        <v>315</v>
      </c>
    </row>
    <row r="2" customFormat="false" ht="15" hidden="false" customHeight="false" outlineLevel="0" collapsed="false">
      <c r="A2" s="2" t="s">
        <v>316</v>
      </c>
    </row>
    <row r="4" customFormat="false" ht="15" hidden="false" customHeight="false" outlineLevel="0" collapsed="false">
      <c r="A4" s="15" t="s">
        <v>269</v>
      </c>
    </row>
    <row r="5" customFormat="false" ht="15" hidden="false" customHeight="false" outlineLevel="0" collapsed="false">
      <c r="B5" s="8" t="s">
        <v>317</v>
      </c>
      <c r="C5" s="21" t="n">
        <v>0.12</v>
      </c>
      <c r="D5" s="8" t="s">
        <v>39</v>
      </c>
      <c r="J5" s="4" t="s">
        <v>318</v>
      </c>
    </row>
    <row r="6" customFormat="false" ht="15" hidden="false" customHeight="false" outlineLevel="0" collapsed="false">
      <c r="B6" s="8" t="s">
        <v>319</v>
      </c>
      <c r="C6" s="11" t="n">
        <v>250</v>
      </c>
      <c r="D6" s="8" t="s">
        <v>136</v>
      </c>
      <c r="J6" s="4" t="s">
        <v>320</v>
      </c>
    </row>
    <row r="7" customFormat="false" ht="15" hidden="false" customHeight="false" outlineLevel="0" collapsed="false">
      <c r="B7" s="8" t="s">
        <v>321</v>
      </c>
      <c r="C7" s="16" t="n">
        <f aca="false">PCF_Board!$G$24</f>
        <v>0.7167375</v>
      </c>
      <c r="D7" s="8" t="s">
        <v>276</v>
      </c>
      <c r="J7" s="4" t="s">
        <v>322</v>
      </c>
    </row>
    <row r="9" customFormat="false" ht="30" hidden="false" customHeight="true" outlineLevel="0" collapsed="false">
      <c r="A9" s="5" t="s">
        <v>278</v>
      </c>
      <c r="B9" s="5" t="s">
        <v>279</v>
      </c>
      <c r="C9" s="5" t="s">
        <v>280</v>
      </c>
      <c r="D9" s="5" t="s">
        <v>24</v>
      </c>
      <c r="E9" s="5" t="s">
        <v>146</v>
      </c>
      <c r="F9" s="5" t="s">
        <v>281</v>
      </c>
      <c r="G9" s="5" t="s">
        <v>282</v>
      </c>
      <c r="H9" s="5" t="s">
        <v>283</v>
      </c>
      <c r="I9" s="5" t="s">
        <v>284</v>
      </c>
      <c r="J9" s="5" t="s">
        <v>285</v>
      </c>
    </row>
    <row r="10" customFormat="false" ht="15" hidden="false" customHeight="false" outlineLevel="0" collapsed="false">
      <c r="A10" s="8" t="s">
        <v>286</v>
      </c>
      <c r="B10" s="8" t="s">
        <v>323</v>
      </c>
      <c r="C10" s="22" t="n">
        <f aca="false">1000/(1-$C$5)</f>
        <v>1136.36363636364</v>
      </c>
      <c r="D10" s="8" t="s">
        <v>184</v>
      </c>
      <c r="E10" s="8" t="s">
        <v>324</v>
      </c>
      <c r="F10" s="23" t="n">
        <f aca="false">PCF_Board!$G$24</f>
        <v>0.7167375</v>
      </c>
      <c r="G10" s="22" t="n">
        <f aca="false">C10*F10</f>
        <v>814.474431818182</v>
      </c>
      <c r="H10" s="24" t="n">
        <f aca="false">IFERROR(G10/$G$21,0)</f>
        <v>0.770852999345342</v>
      </c>
      <c r="I10" s="8" t="s">
        <v>325</v>
      </c>
      <c r="J10" s="4" t="s">
        <v>326</v>
      </c>
    </row>
    <row r="11" customFormat="false" ht="15" hidden="false" customHeight="false" outlineLevel="0" collapsed="false">
      <c r="A11" s="8" t="s">
        <v>286</v>
      </c>
      <c r="B11" s="8" t="s">
        <v>327</v>
      </c>
      <c r="C11" s="18" t="n">
        <v>15</v>
      </c>
      <c r="D11" s="8" t="s">
        <v>184</v>
      </c>
      <c r="E11" s="8" t="s">
        <v>197</v>
      </c>
      <c r="F11" s="23" t="n">
        <f aca="false">VLOOKUP(E11,Emission_Factors!$A:$D,4,FALSE())</f>
        <v>3.2</v>
      </c>
      <c r="G11" s="22" t="n">
        <f aca="false">C11*F11</f>
        <v>48</v>
      </c>
      <c r="H11" s="24" t="n">
        <f aca="false">IFERROR(G11/$G$21,0)</f>
        <v>0.0454292271471037</v>
      </c>
      <c r="I11" s="8" t="s">
        <v>185</v>
      </c>
      <c r="J11" s="4" t="s">
        <v>328</v>
      </c>
    </row>
    <row r="12" customFormat="false" ht="15" hidden="false" customHeight="false" outlineLevel="0" collapsed="false">
      <c r="A12" s="8" t="s">
        <v>286</v>
      </c>
      <c r="B12" s="8" t="s">
        <v>201</v>
      </c>
      <c r="C12" s="18" t="n">
        <v>8</v>
      </c>
      <c r="D12" s="8" t="s">
        <v>184</v>
      </c>
      <c r="E12" s="8" t="s">
        <v>200</v>
      </c>
      <c r="F12" s="23" t="n">
        <f aca="false">VLOOKUP(E12,Emission_Factors!$A:$D,4,FALSE())</f>
        <v>2.5</v>
      </c>
      <c r="G12" s="22" t="n">
        <f aca="false">C12*F12</f>
        <v>20</v>
      </c>
      <c r="H12" s="24" t="n">
        <f aca="false">IFERROR(G12/$G$21,0)</f>
        <v>0.0189288446446265</v>
      </c>
      <c r="I12" s="8" t="s">
        <v>185</v>
      </c>
      <c r="J12" s="4"/>
    </row>
    <row r="13" customFormat="false" ht="15" hidden="false" customHeight="false" outlineLevel="0" collapsed="false">
      <c r="A13" s="8" t="s">
        <v>286</v>
      </c>
      <c r="B13" s="8" t="s">
        <v>329</v>
      </c>
      <c r="C13" s="18" t="n">
        <v>5</v>
      </c>
      <c r="D13" s="8" t="s">
        <v>184</v>
      </c>
      <c r="E13" s="8" t="s">
        <v>202</v>
      </c>
      <c r="F13" s="23" t="n">
        <f aca="false">VLOOKUP(E13,Emission_Factors!$A:$D,4,FALSE())</f>
        <v>1.8</v>
      </c>
      <c r="G13" s="22" t="n">
        <f aca="false">C13*F13</f>
        <v>9</v>
      </c>
      <c r="H13" s="24" t="n">
        <f aca="false">IFERROR(G13/$G$21,0)</f>
        <v>0.00851798009008194</v>
      </c>
      <c r="I13" s="8" t="s">
        <v>185</v>
      </c>
      <c r="J13" s="4"/>
    </row>
    <row r="14" customFormat="false" ht="15" hidden="false" customHeight="false" outlineLevel="0" collapsed="false">
      <c r="A14" s="8" t="s">
        <v>286</v>
      </c>
      <c r="B14" s="8" t="s">
        <v>330</v>
      </c>
      <c r="C14" s="18" t="n">
        <v>6</v>
      </c>
      <c r="D14" s="8" t="s">
        <v>184</v>
      </c>
      <c r="E14" s="8" t="s">
        <v>204</v>
      </c>
      <c r="F14" s="23" t="n">
        <f aca="false">VLOOKUP(E14,Emission_Factors!$A:$D,4,FALSE())</f>
        <v>2.6</v>
      </c>
      <c r="G14" s="22" t="n">
        <f aca="false">C14*F14</f>
        <v>15.6</v>
      </c>
      <c r="H14" s="24" t="n">
        <f aca="false">IFERROR(G14/$G$21,0)</f>
        <v>0.0147644988228087</v>
      </c>
      <c r="I14" s="8" t="s">
        <v>185</v>
      </c>
      <c r="J14" s="4"/>
    </row>
    <row r="15" customFormat="false" ht="15" hidden="false" customHeight="false" outlineLevel="0" collapsed="false">
      <c r="A15" s="8" t="s">
        <v>294</v>
      </c>
      <c r="B15" s="8" t="s">
        <v>331</v>
      </c>
      <c r="C15" s="22" t="n">
        <f aca="false">$C$10/1000*$C$6</f>
        <v>284.090909090909</v>
      </c>
      <c r="D15" s="8" t="s">
        <v>175</v>
      </c>
      <c r="E15" s="8" t="s">
        <v>173</v>
      </c>
      <c r="F15" s="23" t="n">
        <f aca="false">VLOOKUP(E15,Emission_Factors!$A:$D,4,FALSE())</f>
        <v>0.095</v>
      </c>
      <c r="G15" s="22" t="n">
        <f aca="false">C15*F15</f>
        <v>26.9886363636364</v>
      </c>
      <c r="H15" s="24" t="n">
        <f aca="false">IFERROR(G15/$G$21,0)</f>
        <v>0.0255431852448796</v>
      </c>
      <c r="I15" s="8" t="s">
        <v>180</v>
      </c>
      <c r="J15" s="4" t="s">
        <v>296</v>
      </c>
    </row>
    <row r="16" customFormat="false" ht="15" hidden="false" customHeight="false" outlineLevel="0" collapsed="false">
      <c r="A16" s="8" t="s">
        <v>297</v>
      </c>
      <c r="B16" s="8" t="s">
        <v>332</v>
      </c>
      <c r="C16" s="18" t="n">
        <v>80</v>
      </c>
      <c r="D16" s="8" t="s">
        <v>154</v>
      </c>
      <c r="E16" s="8" t="s">
        <v>152</v>
      </c>
      <c r="F16" s="23" t="n">
        <f aca="false">VLOOKUP(E16,Emission_Factors!$A:$D,4,FALSE())</f>
        <v>0.201</v>
      </c>
      <c r="G16" s="22" t="n">
        <f aca="false">C16*F16</f>
        <v>16.08</v>
      </c>
      <c r="H16" s="24" t="n">
        <f aca="false">IFERROR(G16/$G$21,0)</f>
        <v>0.0152187910942797</v>
      </c>
      <c r="I16" s="8" t="s">
        <v>34</v>
      </c>
      <c r="J16" s="4" t="s">
        <v>333</v>
      </c>
    </row>
    <row r="17" customFormat="false" ht="15" hidden="false" customHeight="false" outlineLevel="0" collapsed="false">
      <c r="A17" s="8" t="s">
        <v>297</v>
      </c>
      <c r="B17" s="8" t="s">
        <v>300</v>
      </c>
      <c r="C17" s="22" t="n">
        <f aca="false">$C$16</f>
        <v>80</v>
      </c>
      <c r="D17" s="8" t="s">
        <v>154</v>
      </c>
      <c r="E17" s="8" t="s">
        <v>157</v>
      </c>
      <c r="F17" s="23" t="n">
        <f aca="false">VLOOKUP(E17,Emission_Factors!$A:$D,4,FALSE())</f>
        <v>0.03</v>
      </c>
      <c r="G17" s="22" t="n">
        <f aca="false">C17*F17</f>
        <v>2.4</v>
      </c>
      <c r="H17" s="24" t="n">
        <f aca="false">IFERROR(G17/$G$21,0)</f>
        <v>0.00227146135735518</v>
      </c>
      <c r="I17" s="8" t="s">
        <v>159</v>
      </c>
      <c r="J17" s="4"/>
    </row>
    <row r="18" customFormat="false" ht="15" hidden="false" customHeight="false" outlineLevel="0" collapsed="false">
      <c r="A18" s="8" t="s">
        <v>297</v>
      </c>
      <c r="B18" s="8" t="s">
        <v>334</v>
      </c>
      <c r="C18" s="18" t="n">
        <v>250</v>
      </c>
      <c r="D18" s="8" t="s">
        <v>154</v>
      </c>
      <c r="E18" s="8" t="s">
        <v>161</v>
      </c>
      <c r="F18" s="23" t="n">
        <f aca="false">VLOOKUP(E18,Emission_Factors!$A:$D,4,FALSE())</f>
        <v>0.363</v>
      </c>
      <c r="G18" s="22" t="n">
        <f aca="false">C18*F18</f>
        <v>90.75</v>
      </c>
      <c r="H18" s="24" t="n">
        <f aca="false">IFERROR(G18/$G$21,0)</f>
        <v>0.0858896325749929</v>
      </c>
      <c r="I18" s="8" t="s">
        <v>302</v>
      </c>
      <c r="J18" s="4" t="s">
        <v>333</v>
      </c>
    </row>
    <row r="19" customFormat="false" ht="15" hidden="false" customHeight="false" outlineLevel="0" collapsed="false">
      <c r="A19" s="8" t="s">
        <v>297</v>
      </c>
      <c r="B19" s="8" t="s">
        <v>304</v>
      </c>
      <c r="C19" s="22" t="n">
        <f aca="false">$C$18</f>
        <v>250</v>
      </c>
      <c r="D19" s="8" t="s">
        <v>154</v>
      </c>
      <c r="E19" s="8" t="s">
        <v>165</v>
      </c>
      <c r="F19" s="23" t="n">
        <f aca="false">VLOOKUP(E19,Emission_Factors!$A:$D,4,FALSE())</f>
        <v>0.045</v>
      </c>
      <c r="G19" s="22" t="n">
        <f aca="false">C19*F19</f>
        <v>11.25</v>
      </c>
      <c r="H19" s="24" t="n">
        <f aca="false">IFERROR(G19/$G$21,0)</f>
        <v>0.0106474751126024</v>
      </c>
      <c r="I19" s="8" t="s">
        <v>159</v>
      </c>
      <c r="J19" s="4"/>
    </row>
    <row r="20" customFormat="false" ht="15" hidden="false" customHeight="false" outlineLevel="0" collapsed="false">
      <c r="A20" s="8" t="s">
        <v>297</v>
      </c>
      <c r="B20" s="8" t="s">
        <v>335</v>
      </c>
      <c r="C20" s="22" t="n">
        <f aca="false">$C$10-1000</f>
        <v>136.363636363636</v>
      </c>
      <c r="D20" s="8" t="s">
        <v>184</v>
      </c>
      <c r="E20" s="8" t="s">
        <v>182</v>
      </c>
      <c r="F20" s="23" t="n">
        <f aca="false">VLOOKUP(E20,Emission_Factors!$A:$D,4,FALSE())</f>
        <v>0.015</v>
      </c>
      <c r="G20" s="22" t="n">
        <f aca="false">C20*F20</f>
        <v>2.04545454545454</v>
      </c>
      <c r="H20" s="24" t="n">
        <f aca="false">IFERROR(G20/$G$21,0)</f>
        <v>0.00193590456592771</v>
      </c>
      <c r="I20" s="8" t="s">
        <v>185</v>
      </c>
      <c r="J20" s="4" t="s">
        <v>336</v>
      </c>
    </row>
    <row r="21" customFormat="false" ht="15" hidden="false" customHeight="false" outlineLevel="0" collapsed="false">
      <c r="A21" s="25" t="s">
        <v>337</v>
      </c>
      <c r="B21" s="26"/>
      <c r="C21" s="26"/>
      <c r="D21" s="26"/>
      <c r="E21" s="26"/>
      <c r="F21" s="26"/>
      <c r="G21" s="27" t="n">
        <f aca="false">SUM(G10:G20)</f>
        <v>1056.58852272727</v>
      </c>
      <c r="H21" s="28" t="n">
        <f aca="false">SUM(H10:H20)</f>
        <v>1</v>
      </c>
      <c r="I21" s="26"/>
      <c r="J21" s="26"/>
    </row>
    <row r="22" customFormat="false" ht="15" hidden="false" customHeight="false" outlineLevel="0" collapsed="false">
      <c r="A22" s="29" t="s">
        <v>338</v>
      </c>
      <c r="B22" s="8" t="s">
        <v>339</v>
      </c>
      <c r="C22" s="31" t="n">
        <f aca="false">Company_Inputs!$B$29</f>
        <v>300</v>
      </c>
      <c r="D22" s="8" t="s">
        <v>175</v>
      </c>
      <c r="E22" s="8" t="s">
        <v>173</v>
      </c>
      <c r="F22" s="23" t="n">
        <f aca="false">VLOOKUP(E22,Emission_Factors!$A:$D,4,FALSE())</f>
        <v>0.095</v>
      </c>
      <c r="G22" s="22" t="n">
        <f aca="false">C22*F22</f>
        <v>28.5</v>
      </c>
    </row>
    <row r="23" customFormat="false" ht="15" hidden="false" customHeight="false" outlineLevel="0" collapsed="false">
      <c r="A23" s="25" t="s">
        <v>340</v>
      </c>
      <c r="G23" s="27" t="n">
        <f aca="false">$G$21+G22</f>
        <v>1085.08852272727</v>
      </c>
    </row>
    <row r="24" customFormat="false" ht="15" hidden="false" customHeight="false" outlineLevel="0" collapsed="false">
      <c r="A24" s="29" t="s">
        <v>341</v>
      </c>
      <c r="B24" s="8" t="s">
        <v>342</v>
      </c>
      <c r="G24" s="22" t="n">
        <f aca="false">-1000*PCF_Board!$C$7*44/12</f>
        <v>-1466.66666666667</v>
      </c>
    </row>
    <row r="26" customFormat="false" ht="15" hidden="false" customHeight="false" outlineLevel="0" collapsed="false">
      <c r="A26" s="15" t="s">
        <v>313</v>
      </c>
    </row>
    <row r="27" customFormat="false" ht="30" hidden="false" customHeight="true" outlineLevel="0" collapsed="false">
      <c r="A27" s="5" t="s">
        <v>278</v>
      </c>
      <c r="B27" s="5" t="s">
        <v>314</v>
      </c>
      <c r="C27" s="5" t="s">
        <v>283</v>
      </c>
    </row>
    <row r="28" customFormat="false" ht="15" hidden="false" customHeight="false" outlineLevel="0" collapsed="false">
      <c r="A28" s="8" t="s">
        <v>286</v>
      </c>
      <c r="B28" s="22" t="n">
        <f aca="false">SUMIF($A$10:$A$20,A28,$G$10:$G$20)</f>
        <v>907.074431818182</v>
      </c>
      <c r="C28" s="24" t="n">
        <f aca="false">IFERROR(B28/$G$21,0)</f>
        <v>0.858493550049963</v>
      </c>
    </row>
    <row r="29" customFormat="false" ht="15" hidden="false" customHeight="false" outlineLevel="0" collapsed="false">
      <c r="A29" s="8" t="s">
        <v>294</v>
      </c>
      <c r="B29" s="22" t="n">
        <f aca="false">SUMIF($A$10:$A$20,A29,$G$10:$G$20)</f>
        <v>26.9886363636364</v>
      </c>
      <c r="C29" s="24" t="n">
        <f aca="false">IFERROR(B29/$G$21,0)</f>
        <v>0.0255431852448796</v>
      </c>
    </row>
    <row r="30" customFormat="false" ht="15" hidden="false" customHeight="false" outlineLevel="0" collapsed="false">
      <c r="A30" s="8" t="s">
        <v>297</v>
      </c>
      <c r="B30" s="22" t="n">
        <f aca="false">SUMIF($A$10:$A$20,A30,$G$10:$G$20)</f>
        <v>122.525454545455</v>
      </c>
      <c r="C30" s="24" t="n">
        <f aca="false">IFERROR(B30/$G$21,0)</f>
        <v>0.115963264705158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14"/>
    <col collapsed="false" customWidth="true" hidden="false" outlineLevel="0" max="4" min="4" style="0" width="9"/>
    <col collapsed="false" customWidth="true" hidden="false" outlineLevel="0" max="5" min="5" style="0" width="8"/>
    <col collapsed="false" customWidth="true" hidden="false" outlineLevel="0" max="6" min="6" style="0" width="13"/>
    <col collapsed="false" customWidth="true" hidden="false" outlineLevel="0" max="7" min="7" style="0" width="14"/>
    <col collapsed="false" customWidth="true" hidden="false" outlineLevel="0" max="8" min="8" style="0" width="9"/>
    <col collapsed="false" customWidth="true" hidden="false" outlineLevel="0" max="9" min="9" style="0" width="16"/>
    <col collapsed="false" customWidth="true" hidden="false" outlineLevel="0" max="10" min="10" style="0" width="44"/>
  </cols>
  <sheetData>
    <row r="1" customFormat="false" ht="17.35" hidden="false" customHeight="false" outlineLevel="0" collapsed="false">
      <c r="A1" s="1" t="s">
        <v>343</v>
      </c>
    </row>
    <row r="2" customFormat="false" ht="15" hidden="false" customHeight="false" outlineLevel="0" collapsed="false">
      <c r="A2" s="2" t="s">
        <v>344</v>
      </c>
    </row>
    <row r="4" customFormat="false" ht="15" hidden="false" customHeight="false" outlineLevel="0" collapsed="false">
      <c r="A4" s="15" t="s">
        <v>269</v>
      </c>
    </row>
    <row r="5" customFormat="false" ht="15" hidden="false" customHeight="false" outlineLevel="0" collapsed="false">
      <c r="B5" s="8" t="s">
        <v>345</v>
      </c>
      <c r="C5" s="11" t="n">
        <v>9000</v>
      </c>
      <c r="D5" s="8" t="s">
        <v>184</v>
      </c>
      <c r="J5" s="4" t="s">
        <v>346</v>
      </c>
    </row>
    <row r="6" customFormat="false" ht="15" hidden="false" customHeight="false" outlineLevel="0" collapsed="false">
      <c r="B6" s="8" t="s">
        <v>347</v>
      </c>
      <c r="C6" s="21" t="n">
        <v>0.5</v>
      </c>
      <c r="D6" s="8" t="s">
        <v>39</v>
      </c>
      <c r="J6" s="4" t="s">
        <v>348</v>
      </c>
    </row>
    <row r="7" customFormat="false" ht="15" hidden="false" customHeight="false" outlineLevel="0" collapsed="false">
      <c r="B7" s="8" t="s">
        <v>349</v>
      </c>
      <c r="C7" s="21" t="n">
        <v>0.3</v>
      </c>
      <c r="D7" s="8" t="s">
        <v>39</v>
      </c>
      <c r="J7" s="4" t="s">
        <v>350</v>
      </c>
    </row>
    <row r="8" customFormat="false" ht="15" hidden="false" customHeight="false" outlineLevel="0" collapsed="false">
      <c r="B8" s="8" t="s">
        <v>351</v>
      </c>
      <c r="C8" s="19" t="n">
        <f aca="false">1-C6-C7</f>
        <v>0.2</v>
      </c>
      <c r="D8" s="8" t="s">
        <v>39</v>
      </c>
      <c r="J8" s="4" t="s">
        <v>352</v>
      </c>
    </row>
    <row r="9" customFormat="false" ht="15" hidden="false" customHeight="false" outlineLevel="0" collapsed="false">
      <c r="B9" s="8" t="s">
        <v>353</v>
      </c>
      <c r="C9" s="11" t="n">
        <v>80</v>
      </c>
      <c r="D9" s="8" t="s">
        <v>136</v>
      </c>
      <c r="J9" s="4" t="s">
        <v>354</v>
      </c>
    </row>
    <row r="11" customFormat="false" ht="30" hidden="false" customHeight="true" outlineLevel="0" collapsed="false">
      <c r="A11" s="5" t="s">
        <v>278</v>
      </c>
      <c r="B11" s="5" t="s">
        <v>279</v>
      </c>
      <c r="C11" s="5" t="s">
        <v>280</v>
      </c>
      <c r="D11" s="5" t="s">
        <v>24</v>
      </c>
      <c r="E11" s="5" t="s">
        <v>146</v>
      </c>
      <c r="F11" s="5" t="s">
        <v>281</v>
      </c>
      <c r="G11" s="5" t="s">
        <v>282</v>
      </c>
      <c r="H11" s="5" t="s">
        <v>283</v>
      </c>
      <c r="I11" s="5" t="s">
        <v>284</v>
      </c>
      <c r="J11" s="5" t="s">
        <v>285</v>
      </c>
    </row>
    <row r="12" customFormat="false" ht="15" hidden="false" customHeight="false" outlineLevel="0" collapsed="false">
      <c r="A12" s="8" t="s">
        <v>286</v>
      </c>
      <c r="B12" s="8" t="s">
        <v>355</v>
      </c>
      <c r="C12" s="22" t="n">
        <f aca="false">$C$5*$C$6</f>
        <v>4500</v>
      </c>
      <c r="D12" s="8" t="s">
        <v>184</v>
      </c>
      <c r="E12" s="8" t="s">
        <v>207</v>
      </c>
      <c r="F12" s="23" t="n">
        <f aca="false">VLOOKUP(E12,Emission_Factors!$A:$D,4,FALSE())</f>
        <v>0.004</v>
      </c>
      <c r="G12" s="22" t="n">
        <f aca="false">C12*F12</f>
        <v>18</v>
      </c>
      <c r="H12" s="24" t="n">
        <f aca="false">IFERROR(G12/$G$27,0)</f>
        <v>0.00795476390923614</v>
      </c>
      <c r="I12" s="8" t="s">
        <v>185</v>
      </c>
      <c r="J12" s="4"/>
    </row>
    <row r="13" customFormat="false" ht="15" hidden="false" customHeight="false" outlineLevel="0" collapsed="false">
      <c r="A13" s="8" t="s">
        <v>286</v>
      </c>
      <c r="B13" s="8" t="s">
        <v>356</v>
      </c>
      <c r="C13" s="22" t="n">
        <f aca="false">$C$5*$C$7</f>
        <v>2700</v>
      </c>
      <c r="D13" s="8" t="s">
        <v>184</v>
      </c>
      <c r="E13" s="8" t="s">
        <v>210</v>
      </c>
      <c r="F13" s="23" t="n">
        <f aca="false">VLOOKUP(E13,Emission_Factors!$A:$D,4,FALSE())</f>
        <v>0.002</v>
      </c>
      <c r="G13" s="22" t="n">
        <f aca="false">C13*F13</f>
        <v>5.4</v>
      </c>
      <c r="H13" s="24" t="n">
        <f aca="false">IFERROR(G13/$G$27,0)</f>
        <v>0.00238642917277084</v>
      </c>
      <c r="I13" s="8" t="s">
        <v>185</v>
      </c>
      <c r="J13" s="4"/>
    </row>
    <row r="14" customFormat="false" ht="15" hidden="false" customHeight="false" outlineLevel="0" collapsed="false">
      <c r="A14" s="8" t="s">
        <v>286</v>
      </c>
      <c r="B14" s="8" t="s">
        <v>357</v>
      </c>
      <c r="C14" s="22" t="n">
        <f aca="false">$C$5*$C$8</f>
        <v>1800</v>
      </c>
      <c r="D14" s="8" t="s">
        <v>184</v>
      </c>
      <c r="E14" s="8" t="s">
        <v>214</v>
      </c>
      <c r="F14" s="23" t="n">
        <f aca="false">VLOOKUP(E14,Emission_Factors!$A:$D,4,FALSE())</f>
        <v>0.008</v>
      </c>
      <c r="G14" s="22" t="n">
        <f aca="false">C14*F14</f>
        <v>14.4</v>
      </c>
      <c r="H14" s="24" t="n">
        <f aca="false">IFERROR(G14/$G$27,0)</f>
        <v>0.00636381112738892</v>
      </c>
      <c r="I14" s="8" t="s">
        <v>185</v>
      </c>
      <c r="J14" s="4"/>
    </row>
    <row r="15" customFormat="false" ht="15" hidden="false" customHeight="false" outlineLevel="0" collapsed="false">
      <c r="A15" s="8" t="s">
        <v>286</v>
      </c>
      <c r="B15" s="8" t="s">
        <v>358</v>
      </c>
      <c r="C15" s="18" t="n">
        <v>400</v>
      </c>
      <c r="D15" s="8" t="s">
        <v>184</v>
      </c>
      <c r="E15" s="8" t="s">
        <v>324</v>
      </c>
      <c r="F15" s="23" t="n">
        <f aca="false">PCF_Board!$G$24</f>
        <v>0.7167375</v>
      </c>
      <c r="G15" s="22" t="n">
        <f aca="false">C15*F15</f>
        <v>286.695</v>
      </c>
      <c r="H15" s="24" t="n">
        <f aca="false">IFERROR(G15/$G$27,0)</f>
        <v>0.126699502164359</v>
      </c>
      <c r="I15" s="8" t="s">
        <v>325</v>
      </c>
      <c r="J15" s="4" t="s">
        <v>359</v>
      </c>
    </row>
    <row r="16" customFormat="false" ht="15" hidden="false" customHeight="false" outlineLevel="0" collapsed="false">
      <c r="A16" s="8" t="s">
        <v>286</v>
      </c>
      <c r="B16" s="8" t="s">
        <v>360</v>
      </c>
      <c r="C16" s="18" t="n">
        <v>30</v>
      </c>
      <c r="D16" s="8" t="s">
        <v>184</v>
      </c>
      <c r="E16" s="8" t="s">
        <v>188</v>
      </c>
      <c r="F16" s="23" t="n">
        <f aca="false">VLOOKUP(E16,Emission_Factors!$A:$D,4,FALSE())</f>
        <v>0.85</v>
      </c>
      <c r="G16" s="22" t="n">
        <f aca="false">C16*F16</f>
        <v>25.5</v>
      </c>
      <c r="H16" s="24" t="n">
        <f aca="false">IFERROR(G16/$G$27,0)</f>
        <v>0.0112692488714179</v>
      </c>
      <c r="I16" s="8" t="s">
        <v>185</v>
      </c>
      <c r="J16" s="4"/>
    </row>
    <row r="17" customFormat="false" ht="15" hidden="false" customHeight="false" outlineLevel="0" collapsed="false">
      <c r="A17" s="8" t="s">
        <v>286</v>
      </c>
      <c r="B17" s="8" t="s">
        <v>218</v>
      </c>
      <c r="C17" s="18" t="n">
        <v>10</v>
      </c>
      <c r="D17" s="8" t="s">
        <v>184</v>
      </c>
      <c r="E17" s="8" t="s">
        <v>217</v>
      </c>
      <c r="F17" s="23" t="n">
        <f aca="false">VLOOKUP(E17,Emission_Factors!$A:$D,4,FALSE())</f>
        <v>1.6</v>
      </c>
      <c r="G17" s="22" t="n">
        <f aca="false">C17*F17</f>
        <v>16</v>
      </c>
      <c r="H17" s="24" t="n">
        <f aca="false">IFERROR(G17/$G$27,0)</f>
        <v>0.00707090125265435</v>
      </c>
      <c r="I17" s="8" t="s">
        <v>185</v>
      </c>
      <c r="J17" s="4"/>
    </row>
    <row r="18" customFormat="false" ht="15" hidden="false" customHeight="false" outlineLevel="0" collapsed="false">
      <c r="A18" s="8" t="s">
        <v>286</v>
      </c>
      <c r="B18" s="8" t="s">
        <v>361</v>
      </c>
      <c r="C18" s="18" t="n">
        <v>5</v>
      </c>
      <c r="D18" s="8" t="s">
        <v>184</v>
      </c>
      <c r="E18" s="8" t="s">
        <v>219</v>
      </c>
      <c r="F18" s="23" t="n">
        <f aca="false">VLOOKUP(E18,Emission_Factors!$A:$D,4,FALSE())</f>
        <v>2.3</v>
      </c>
      <c r="G18" s="22" t="n">
        <f aca="false">C18*F18</f>
        <v>11.5</v>
      </c>
      <c r="H18" s="24" t="n">
        <f aca="false">IFERROR(G18/$G$27,0)</f>
        <v>0.00508221027534531</v>
      </c>
      <c r="I18" s="8" t="s">
        <v>185</v>
      </c>
      <c r="J18" s="4" t="s">
        <v>293</v>
      </c>
    </row>
    <row r="19" customFormat="false" ht="15" hidden="false" customHeight="false" outlineLevel="0" collapsed="false">
      <c r="A19" s="8" t="s">
        <v>286</v>
      </c>
      <c r="B19" s="8" t="s">
        <v>362</v>
      </c>
      <c r="C19" s="18" t="n">
        <v>5</v>
      </c>
      <c r="D19" s="8" t="s">
        <v>184</v>
      </c>
      <c r="E19" s="8" t="s">
        <v>204</v>
      </c>
      <c r="F19" s="23" t="n">
        <f aca="false">VLOOKUP(E19,Emission_Factors!$A:$D,4,FALSE())</f>
        <v>2.6</v>
      </c>
      <c r="G19" s="22" t="n">
        <f aca="false">C19*F19</f>
        <v>13</v>
      </c>
      <c r="H19" s="24" t="n">
        <f aca="false">IFERROR(G19/$G$27,0)</f>
        <v>0.00574510726778166</v>
      </c>
      <c r="I19" s="8" t="s">
        <v>185</v>
      </c>
      <c r="J19" s="4"/>
    </row>
    <row r="20" customFormat="false" ht="15" hidden="false" customHeight="false" outlineLevel="0" collapsed="false">
      <c r="A20" s="8" t="s">
        <v>294</v>
      </c>
      <c r="B20" s="8" t="s">
        <v>363</v>
      </c>
      <c r="C20" s="22" t="n">
        <f aca="false">$C$5/1000*$C$9</f>
        <v>720</v>
      </c>
      <c r="D20" s="8" t="s">
        <v>175</v>
      </c>
      <c r="E20" s="8" t="s">
        <v>173</v>
      </c>
      <c r="F20" s="23" t="n">
        <f aca="false">VLOOKUP(E20,Emission_Factors!$A:$D,4,FALSE())</f>
        <v>0.095</v>
      </c>
      <c r="G20" s="22" t="n">
        <f aca="false">C20*F20</f>
        <v>68.4</v>
      </c>
      <c r="H20" s="24" t="n">
        <f aca="false">IFERROR(G20/$G$27,0)</f>
        <v>0.0302281028550973</v>
      </c>
      <c r="I20" s="8" t="s">
        <v>180</v>
      </c>
      <c r="J20" s="4"/>
    </row>
    <row r="21" customFormat="false" ht="15" hidden="false" customHeight="false" outlineLevel="0" collapsed="false">
      <c r="A21" s="8" t="s">
        <v>294</v>
      </c>
      <c r="B21" s="8" t="s">
        <v>364</v>
      </c>
      <c r="C21" s="18" t="n">
        <v>120</v>
      </c>
      <c r="D21" s="8" t="s">
        <v>175</v>
      </c>
      <c r="E21" s="8" t="s">
        <v>173</v>
      </c>
      <c r="F21" s="23" t="n">
        <f aca="false">VLOOKUP(E21,Emission_Factors!$A:$D,4,FALSE())</f>
        <v>0.095</v>
      </c>
      <c r="G21" s="22" t="n">
        <f aca="false">C21*F21</f>
        <v>11.4</v>
      </c>
      <c r="H21" s="24" t="n">
        <f aca="false">IFERROR(G21/$G$27,0)</f>
        <v>0.00503801714251622</v>
      </c>
      <c r="I21" s="8" t="s">
        <v>180</v>
      </c>
      <c r="J21" s="4" t="s">
        <v>365</v>
      </c>
    </row>
    <row r="22" customFormat="false" ht="15" hidden="false" customHeight="false" outlineLevel="0" collapsed="false">
      <c r="A22" s="8" t="s">
        <v>297</v>
      </c>
      <c r="B22" s="8" t="s">
        <v>366</v>
      </c>
      <c r="C22" s="18" t="n">
        <v>2200</v>
      </c>
      <c r="D22" s="8" t="s">
        <v>154</v>
      </c>
      <c r="E22" s="8" t="s">
        <v>152</v>
      </c>
      <c r="F22" s="23" t="n">
        <f aca="false">VLOOKUP(E22,Emission_Factors!$A:$D,4,FALSE())</f>
        <v>0.201</v>
      </c>
      <c r="G22" s="22" t="n">
        <f aca="false">C22*F22</f>
        <v>442.2</v>
      </c>
      <c r="H22" s="24" t="n">
        <f aca="false">IFERROR(G22/$G$27,0)</f>
        <v>0.195422033370235</v>
      </c>
      <c r="I22" s="8" t="s">
        <v>34</v>
      </c>
      <c r="J22" s="4" t="s">
        <v>333</v>
      </c>
    </row>
    <row r="23" customFormat="false" ht="15" hidden="false" customHeight="false" outlineLevel="0" collapsed="false">
      <c r="A23" s="8" t="s">
        <v>297</v>
      </c>
      <c r="B23" s="8" t="s">
        <v>367</v>
      </c>
      <c r="C23" s="18" t="n">
        <v>4500</v>
      </c>
      <c r="D23" s="8" t="s">
        <v>154</v>
      </c>
      <c r="E23" s="8" t="s">
        <v>152</v>
      </c>
      <c r="F23" s="23" t="n">
        <f aca="false">VLOOKUP(E23,Emission_Factors!$A:$D,4,FALSE())</f>
        <v>0.201</v>
      </c>
      <c r="G23" s="22" t="n">
        <f aca="false">C23*F23</f>
        <v>904.5</v>
      </c>
      <c r="H23" s="24" t="n">
        <f aca="false">IFERROR(G23/$G$27,0)</f>
        <v>0.399726886439116</v>
      </c>
      <c r="I23" s="8" t="s">
        <v>34</v>
      </c>
      <c r="J23" s="4" t="s">
        <v>368</v>
      </c>
    </row>
    <row r="24" customFormat="false" ht="15" hidden="false" customHeight="false" outlineLevel="0" collapsed="false">
      <c r="A24" s="8" t="s">
        <v>297</v>
      </c>
      <c r="B24" s="8" t="s">
        <v>300</v>
      </c>
      <c r="C24" s="22" t="n">
        <f aca="false">$C$22+$C$23</f>
        <v>6700</v>
      </c>
      <c r="D24" s="8" t="s">
        <v>154</v>
      </c>
      <c r="E24" s="8" t="s">
        <v>157</v>
      </c>
      <c r="F24" s="23" t="n">
        <f aca="false">VLOOKUP(E24,Emission_Factors!$A:$D,4,FALSE())</f>
        <v>0.03</v>
      </c>
      <c r="G24" s="22" t="n">
        <f aca="false">C24*F24</f>
        <v>201</v>
      </c>
      <c r="H24" s="24" t="n">
        <f aca="false">IFERROR(G24/$G$27,0)</f>
        <v>0.0888281969864703</v>
      </c>
      <c r="I24" s="8" t="s">
        <v>159</v>
      </c>
      <c r="J24" s="4"/>
    </row>
    <row r="25" customFormat="false" ht="15" hidden="false" customHeight="false" outlineLevel="0" collapsed="false">
      <c r="A25" s="8" t="s">
        <v>297</v>
      </c>
      <c r="B25" s="8" t="s">
        <v>369</v>
      </c>
      <c r="C25" s="18" t="n">
        <v>600</v>
      </c>
      <c r="D25" s="8" t="s">
        <v>154</v>
      </c>
      <c r="E25" s="8" t="s">
        <v>161</v>
      </c>
      <c r="F25" s="23" t="n">
        <f aca="false">VLOOKUP(E25,Emission_Factors!$A:$D,4,FALSE())</f>
        <v>0.363</v>
      </c>
      <c r="G25" s="22" t="n">
        <f aca="false">C25*F25</f>
        <v>217.8</v>
      </c>
      <c r="H25" s="24" t="n">
        <f aca="false">IFERROR(G25/$G$27,0)</f>
        <v>0.0962526433017573</v>
      </c>
      <c r="I25" s="8" t="s">
        <v>302</v>
      </c>
      <c r="J25" s="4" t="s">
        <v>333</v>
      </c>
    </row>
    <row r="26" customFormat="false" ht="15" hidden="false" customHeight="false" outlineLevel="0" collapsed="false">
      <c r="A26" s="8" t="s">
        <v>297</v>
      </c>
      <c r="B26" s="8" t="s">
        <v>304</v>
      </c>
      <c r="C26" s="22" t="n">
        <f aca="false">$C$25</f>
        <v>600</v>
      </c>
      <c r="D26" s="8" t="s">
        <v>154</v>
      </c>
      <c r="E26" s="8" t="s">
        <v>165</v>
      </c>
      <c r="F26" s="23" t="n">
        <f aca="false">VLOOKUP(E26,Emission_Factors!$A:$D,4,FALSE())</f>
        <v>0.045</v>
      </c>
      <c r="G26" s="22" t="n">
        <f aca="false">C26*F26</f>
        <v>27</v>
      </c>
      <c r="H26" s="24" t="n">
        <f aca="false">IFERROR(G26/$G$27,0)</f>
        <v>0.0119321458638542</v>
      </c>
      <c r="I26" s="8" t="s">
        <v>159</v>
      </c>
      <c r="J26" s="4"/>
    </row>
    <row r="27" customFormat="false" ht="15" hidden="false" customHeight="false" outlineLevel="0" collapsed="false">
      <c r="A27" s="25" t="s">
        <v>370</v>
      </c>
      <c r="B27" s="26"/>
      <c r="C27" s="26"/>
      <c r="D27" s="26"/>
      <c r="E27" s="26"/>
      <c r="F27" s="26"/>
      <c r="G27" s="27" t="n">
        <f aca="false">SUM(G12:G26)</f>
        <v>2262.795</v>
      </c>
      <c r="H27" s="28" t="n">
        <f aca="false">SUM(H12:H26)</f>
        <v>1</v>
      </c>
      <c r="I27" s="26"/>
      <c r="J27" s="26"/>
    </row>
    <row r="28" customFormat="false" ht="15" hidden="false" customHeight="false" outlineLevel="0" collapsed="false">
      <c r="A28" s="25" t="s">
        <v>371</v>
      </c>
      <c r="B28" s="32" t="s">
        <v>372</v>
      </c>
      <c r="G28" s="33" t="n">
        <f aca="false">$G$27/1000</f>
        <v>2.262795</v>
      </c>
    </row>
    <row r="29" customFormat="false" ht="15" hidden="false" customHeight="false" outlineLevel="0" collapsed="false">
      <c r="B29" s="8" t="s">
        <v>373</v>
      </c>
      <c r="G29" s="22" t="n">
        <f aca="false">G28/Company_Inputs!$B$10*1000</f>
        <v>266.211176470588</v>
      </c>
    </row>
    <row r="31" customFormat="false" ht="15" hidden="false" customHeight="false" outlineLevel="0" collapsed="false">
      <c r="A31" s="15" t="s">
        <v>313</v>
      </c>
    </row>
    <row r="32" customFormat="false" ht="30" hidden="false" customHeight="true" outlineLevel="0" collapsed="false">
      <c r="A32" s="5" t="s">
        <v>278</v>
      </c>
      <c r="B32" s="5" t="s">
        <v>314</v>
      </c>
      <c r="C32" s="5" t="s">
        <v>283</v>
      </c>
    </row>
    <row r="33" customFormat="false" ht="15" hidden="false" customHeight="false" outlineLevel="0" collapsed="false">
      <c r="A33" s="8" t="s">
        <v>286</v>
      </c>
      <c r="B33" s="22" t="n">
        <f aca="false">SUMIF($A$12:$A$26,A33,$G$12:$G$26)</f>
        <v>390.495</v>
      </c>
      <c r="C33" s="24" t="n">
        <f aca="false">IFERROR(B33/$G$27,0)</f>
        <v>0.172571974040954</v>
      </c>
    </row>
    <row r="34" customFormat="false" ht="15" hidden="false" customHeight="false" outlineLevel="0" collapsed="false">
      <c r="A34" s="8" t="s">
        <v>294</v>
      </c>
      <c r="B34" s="22" t="n">
        <f aca="false">SUMIF($A$12:$A$26,A34,$G$12:$G$26)</f>
        <v>79.8</v>
      </c>
      <c r="C34" s="24" t="n">
        <f aca="false">IFERROR(B34/$G$27,0)</f>
        <v>0.0352661199976136</v>
      </c>
    </row>
    <row r="35" customFormat="false" ht="15" hidden="false" customHeight="false" outlineLevel="0" collapsed="false">
      <c r="A35" s="8" t="s">
        <v>297</v>
      </c>
      <c r="B35" s="22" t="n">
        <f aca="false">SUMIF($A$12:$A$26,A35,$G$12:$G$26)</f>
        <v>1792.5</v>
      </c>
      <c r="C35" s="24" t="n">
        <f aca="false">IFERROR(B35/$G$27,0)</f>
        <v>0.792161905961433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V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7"/>
    <col collapsed="false" customWidth="true" hidden="false" outlineLevel="0" max="4" min="4" style="0" width="22"/>
    <col collapsed="false" customWidth="true" hidden="false" outlineLevel="0" max="5" min="5" style="0" width="8"/>
    <col collapsed="false" customWidth="true" hidden="false" outlineLevel="0" max="6" min="6" style="0" width="11"/>
    <col collapsed="false" customWidth="true" hidden="false" outlineLevel="0" max="7" min="7" style="0" width="10"/>
    <col collapsed="false" customWidth="true" hidden="false" outlineLevel="0" max="8" min="8" style="0" width="11"/>
    <col collapsed="false" customWidth="true" hidden="false" outlineLevel="0" max="9" min="9" style="0" width="14"/>
    <col collapsed="false" customWidth="true" hidden="false" outlineLevel="0" max="12" min="10" style="0" width="5"/>
    <col collapsed="false" customWidth="true" hidden="false" outlineLevel="0" max="15" min="13" style="0" width="6"/>
    <col collapsed="false" customWidth="true" hidden="false" outlineLevel="0" max="17" min="16" style="0" width="8"/>
    <col collapsed="false" customWidth="true" hidden="false" outlineLevel="0" max="18" min="18" style="0" width="16"/>
    <col collapsed="false" customWidth="true" hidden="false" outlineLevel="0" max="20" min="19" style="0" width="12"/>
    <col collapsed="false" customWidth="true" hidden="false" outlineLevel="0" max="21" min="21" style="0" width="11"/>
    <col collapsed="false" customWidth="true" hidden="false" outlineLevel="0" max="22" min="22" style="0" width="34"/>
  </cols>
  <sheetData>
    <row r="1" customFormat="false" ht="17.35" hidden="false" customHeight="false" outlineLevel="0" collapsed="false">
      <c r="A1" s="1" t="s">
        <v>374</v>
      </c>
    </row>
    <row r="2" customFormat="false" ht="15" hidden="false" customHeight="false" outlineLevel="0" collapsed="false">
      <c r="A2" s="2" t="s">
        <v>375</v>
      </c>
    </row>
    <row r="3" customFormat="false" ht="15" hidden="false" customHeight="false" outlineLevel="0" collapsed="false">
      <c r="A3" s="29" t="s">
        <v>376</v>
      </c>
      <c r="D3" s="34" t="n">
        <v>3</v>
      </c>
      <c r="E3" s="35" t="s">
        <v>377</v>
      </c>
    </row>
    <row r="5" customFormat="false" ht="30" hidden="false" customHeight="true" outlineLevel="0" collapsed="false">
      <c r="A5" s="5" t="s">
        <v>378</v>
      </c>
      <c r="B5" s="5" t="s">
        <v>379</v>
      </c>
      <c r="C5" s="5" t="s">
        <v>380</v>
      </c>
      <c r="D5" s="5" t="s">
        <v>381</v>
      </c>
      <c r="E5" s="5" t="s">
        <v>382</v>
      </c>
      <c r="F5" s="5" t="s">
        <v>383</v>
      </c>
      <c r="G5" s="5" t="s">
        <v>384</v>
      </c>
      <c r="H5" s="5" t="s">
        <v>385</v>
      </c>
      <c r="I5" s="5" t="s">
        <v>386</v>
      </c>
      <c r="J5" s="5" t="s">
        <v>387</v>
      </c>
      <c r="K5" s="5" t="s">
        <v>388</v>
      </c>
      <c r="L5" s="5" t="s">
        <v>389</v>
      </c>
      <c r="M5" s="5" t="s">
        <v>390</v>
      </c>
      <c r="N5" s="5" t="s">
        <v>391</v>
      </c>
      <c r="O5" s="5" t="s">
        <v>392</v>
      </c>
      <c r="P5" s="5" t="s">
        <v>393</v>
      </c>
      <c r="Q5" s="5" t="s">
        <v>394</v>
      </c>
      <c r="R5" s="5" t="s">
        <v>395</v>
      </c>
      <c r="S5" s="5" t="s">
        <v>396</v>
      </c>
      <c r="T5" s="5" t="s">
        <v>397</v>
      </c>
      <c r="U5" s="5" t="s">
        <v>398</v>
      </c>
      <c r="V5" s="5" t="s">
        <v>399</v>
      </c>
    </row>
    <row r="6" customFormat="false" ht="15" hidden="false" customHeight="false" outlineLevel="0" collapsed="false">
      <c r="A6" s="8" t="s">
        <v>400</v>
      </c>
      <c r="B6" s="8" t="s">
        <v>401</v>
      </c>
      <c r="C6" s="8" t="s">
        <v>402</v>
      </c>
      <c r="D6" s="8" t="s">
        <v>403</v>
      </c>
      <c r="E6" s="8" t="s">
        <v>182</v>
      </c>
      <c r="F6" s="11" t="n">
        <v>160000</v>
      </c>
      <c r="G6" s="11" t="n">
        <v>19200</v>
      </c>
      <c r="H6" s="20" t="n">
        <v>0.012</v>
      </c>
      <c r="I6" s="36" t="s">
        <v>404</v>
      </c>
      <c r="J6" s="37" t="n">
        <v>2</v>
      </c>
      <c r="K6" s="37" t="n">
        <v>1</v>
      </c>
      <c r="L6" s="37" t="n">
        <v>2</v>
      </c>
      <c r="M6" s="37" t="n">
        <v>3</v>
      </c>
      <c r="N6" s="37" t="n">
        <v>2</v>
      </c>
      <c r="O6" s="38" t="n">
        <f aca="false">IF(H6="","",AVERAGE(J6:N6))</f>
        <v>2</v>
      </c>
      <c r="P6" s="23" t="n">
        <f aca="false">VLOOKUP(E6,Emission_Factors!$A:$D,4,FALSE())</f>
        <v>0.015</v>
      </c>
      <c r="Q6" s="39" t="n">
        <f aca="false">IF(AND(H6&lt;&gt;"",O6&lt;&gt;""),IF(O6&lt;=$D$3,H6,P6),P6)</f>
        <v>0.012</v>
      </c>
      <c r="R6" s="8" t="str">
        <f aca="false">IF(H6="","Secondary (no PCF)",IF(O6&lt;=$D$3,"Supplier-specific","Secondary (DQR fail)"))</f>
        <v>Supplier-specific</v>
      </c>
      <c r="S6" s="19" t="n">
        <f aca="false">F6*Q6</f>
        <v>1920</v>
      </c>
      <c r="T6" s="19" t="n">
        <f aca="false">F6*P6</f>
        <v>2400</v>
      </c>
      <c r="U6" s="19" t="n">
        <f aca="false">S6-T6</f>
        <v>-480</v>
      </c>
      <c r="V6" s="8" t="str">
        <f aca="false">IF(R6="Supplier-specific","Annual PCF update via PACT",IF(R6="Secondary (DQR fail)","Improve data quality: primary energy data","Send PCF request + survey"))</f>
        <v>Annual PCF update via PACT</v>
      </c>
    </row>
    <row r="7" customFormat="false" ht="15" hidden="false" customHeight="false" outlineLevel="0" collapsed="false">
      <c r="A7" s="8" t="s">
        <v>405</v>
      </c>
      <c r="B7" s="8" t="s">
        <v>406</v>
      </c>
      <c r="C7" s="8" t="s">
        <v>402</v>
      </c>
      <c r="D7" s="8" t="s">
        <v>403</v>
      </c>
      <c r="E7" s="8" t="s">
        <v>182</v>
      </c>
      <c r="F7" s="11" t="n">
        <v>135000</v>
      </c>
      <c r="G7" s="11" t="n">
        <v>16200</v>
      </c>
      <c r="H7" s="20"/>
      <c r="I7" s="36"/>
      <c r="J7" s="37"/>
      <c r="K7" s="37"/>
      <c r="L7" s="37"/>
      <c r="M7" s="37"/>
      <c r="N7" s="37"/>
      <c r="O7" s="38" t="str">
        <f aca="false">IF(H7="","",AVERAGE(J7:N7))</f>
        <v/>
      </c>
      <c r="P7" s="23" t="n">
        <f aca="false">VLOOKUP(E7,Emission_Factors!$A:$D,4,FALSE())</f>
        <v>0.015</v>
      </c>
      <c r="Q7" s="39" t="n">
        <f aca="false">IF(AND(H7&lt;&gt;"",O7&lt;&gt;""),IF(O7&lt;=$D$3,H7,P7),P7)</f>
        <v>0.015</v>
      </c>
      <c r="R7" s="8" t="str">
        <f aca="false">IF(H7="","Secondary (no PCF)",IF(O7&lt;=$D$3,"Supplier-specific","Secondary (DQR fail)"))</f>
        <v>Secondary (no PCF)</v>
      </c>
      <c r="S7" s="19" t="n">
        <f aca="false">F7*Q7</f>
        <v>2025</v>
      </c>
      <c r="T7" s="19" t="n">
        <f aca="false">F7*P7</f>
        <v>2025</v>
      </c>
      <c r="U7" s="19" t="n">
        <f aca="false">S7-T7</f>
        <v>0</v>
      </c>
      <c r="V7" s="8" t="str">
        <f aca="false">IF(R7="Supplier-specific","Annual PCF update via PACT",IF(R7="Secondary (DQR fail)","Improve data quality: primary energy data","Send PCF request + survey"))</f>
        <v>Send PCF request + survey</v>
      </c>
    </row>
    <row r="8" customFormat="false" ht="15" hidden="false" customHeight="false" outlineLevel="0" collapsed="false">
      <c r="A8" s="8" t="s">
        <v>407</v>
      </c>
      <c r="B8" s="8" t="s">
        <v>408</v>
      </c>
      <c r="C8" s="8" t="s">
        <v>402</v>
      </c>
      <c r="D8" s="8" t="s">
        <v>403</v>
      </c>
      <c r="E8" s="8" t="s">
        <v>182</v>
      </c>
      <c r="F8" s="11" t="n">
        <v>92000</v>
      </c>
      <c r="G8" s="11" t="n">
        <v>10100</v>
      </c>
      <c r="H8" s="20"/>
      <c r="I8" s="36"/>
      <c r="J8" s="37"/>
      <c r="K8" s="37"/>
      <c r="L8" s="37"/>
      <c r="M8" s="37"/>
      <c r="N8" s="37"/>
      <c r="O8" s="38" t="str">
        <f aca="false">IF(H8="","",AVERAGE(J8:N8))</f>
        <v/>
      </c>
      <c r="P8" s="23" t="n">
        <f aca="false">VLOOKUP(E8,Emission_Factors!$A:$D,4,FALSE())</f>
        <v>0.015</v>
      </c>
      <c r="Q8" s="39" t="n">
        <f aca="false">IF(AND(H8&lt;&gt;"",O8&lt;&gt;""),IF(O8&lt;=$D$3,H8,P8),P8)</f>
        <v>0.015</v>
      </c>
      <c r="R8" s="8" t="str">
        <f aca="false">IF(H8="","Secondary (no PCF)",IF(O8&lt;=$D$3,"Supplier-specific","Secondary (DQR fail)"))</f>
        <v>Secondary (no PCF)</v>
      </c>
      <c r="S8" s="19" t="n">
        <f aca="false">F8*Q8</f>
        <v>1380</v>
      </c>
      <c r="T8" s="19" t="n">
        <f aca="false">F8*P8</f>
        <v>1380</v>
      </c>
      <c r="U8" s="19" t="n">
        <f aca="false">S8-T8</f>
        <v>0</v>
      </c>
      <c r="V8" s="8" t="str">
        <f aca="false">IF(R8="Supplier-specific","Annual PCF update via PACT",IF(R8="Secondary (DQR fail)","Improve data quality: primary energy data","Send PCF request + survey"))</f>
        <v>Send PCF request + survey</v>
      </c>
    </row>
    <row r="9" customFormat="false" ht="15" hidden="false" customHeight="false" outlineLevel="0" collapsed="false">
      <c r="A9" s="8" t="s">
        <v>409</v>
      </c>
      <c r="B9" s="8" t="s">
        <v>410</v>
      </c>
      <c r="C9" s="8" t="s">
        <v>411</v>
      </c>
      <c r="D9" s="8" t="s">
        <v>403</v>
      </c>
      <c r="E9" s="8" t="s">
        <v>182</v>
      </c>
      <c r="F9" s="11" t="n">
        <v>55000</v>
      </c>
      <c r="G9" s="11" t="n">
        <v>6900</v>
      </c>
      <c r="H9" s="20" t="n">
        <v>0.02</v>
      </c>
      <c r="I9" s="36" t="s">
        <v>412</v>
      </c>
      <c r="J9" s="37" t="n">
        <v>4</v>
      </c>
      <c r="K9" s="37" t="n">
        <v>3</v>
      </c>
      <c r="L9" s="37" t="n">
        <v>3</v>
      </c>
      <c r="M9" s="37" t="n">
        <v>4</v>
      </c>
      <c r="N9" s="37" t="n">
        <v>4</v>
      </c>
      <c r="O9" s="38" t="n">
        <f aca="false">IF(H9="","",AVERAGE(J9:N9))</f>
        <v>3.6</v>
      </c>
      <c r="P9" s="23" t="n">
        <f aca="false">VLOOKUP(E9,Emission_Factors!$A:$D,4,FALSE())</f>
        <v>0.015</v>
      </c>
      <c r="Q9" s="39" t="n">
        <f aca="false">IF(AND(H9&lt;&gt;"",O9&lt;&gt;""),IF(O9&lt;=$D$3,H9,P9),P9)</f>
        <v>0.015</v>
      </c>
      <c r="R9" s="8" t="str">
        <f aca="false">IF(H9="","Secondary (no PCF)",IF(O9&lt;=$D$3,"Supplier-specific","Secondary (DQR fail)"))</f>
        <v>Secondary (DQR fail)</v>
      </c>
      <c r="S9" s="19" t="n">
        <f aca="false">F9*Q9</f>
        <v>825</v>
      </c>
      <c r="T9" s="19" t="n">
        <f aca="false">F9*P9</f>
        <v>825</v>
      </c>
      <c r="U9" s="19" t="n">
        <f aca="false">S9-T9</f>
        <v>0</v>
      </c>
      <c r="V9" s="8" t="str">
        <f aca="false">IF(R9="Supplier-specific","Annual PCF update via PACT",IF(R9="Secondary (DQR fail)","Improve data quality: primary energy data","Send PCF request + survey"))</f>
        <v>Improve data quality: primary energy data</v>
      </c>
    </row>
    <row r="10" customFormat="false" ht="15" hidden="false" customHeight="false" outlineLevel="0" collapsed="false">
      <c r="A10" s="8" t="s">
        <v>413</v>
      </c>
      <c r="B10" s="8" t="s">
        <v>414</v>
      </c>
      <c r="C10" s="8" t="s">
        <v>402</v>
      </c>
      <c r="D10" s="8" t="s">
        <v>415</v>
      </c>
      <c r="E10" s="8" t="s">
        <v>188</v>
      </c>
      <c r="F10" s="11" t="n">
        <v>17200</v>
      </c>
      <c r="G10" s="11" t="n">
        <v>8600</v>
      </c>
      <c r="H10" s="20" t="n">
        <v>0.62</v>
      </c>
      <c r="I10" s="36" t="s">
        <v>416</v>
      </c>
      <c r="J10" s="37" t="n">
        <v>1</v>
      </c>
      <c r="K10" s="37" t="n">
        <v>2</v>
      </c>
      <c r="L10" s="37" t="n">
        <v>1</v>
      </c>
      <c r="M10" s="37" t="n">
        <v>2</v>
      </c>
      <c r="N10" s="37" t="n">
        <v>3</v>
      </c>
      <c r="O10" s="38" t="n">
        <f aca="false">IF(H10="","",AVERAGE(J10:N10))</f>
        <v>1.8</v>
      </c>
      <c r="P10" s="23" t="n">
        <f aca="false">VLOOKUP(E10,Emission_Factors!$A:$D,4,FALSE())</f>
        <v>0.85</v>
      </c>
      <c r="Q10" s="39" t="n">
        <f aca="false">IF(AND(H10&lt;&gt;"",O10&lt;&gt;""),IF(O10&lt;=$D$3,H10,P10),P10)</f>
        <v>0.62</v>
      </c>
      <c r="R10" s="8" t="str">
        <f aca="false">IF(H10="","Secondary (no PCF)",IF(O10&lt;=$D$3,"Supplier-specific","Secondary (DQR fail)"))</f>
        <v>Supplier-specific</v>
      </c>
      <c r="S10" s="19" t="n">
        <f aca="false">F10*Q10</f>
        <v>10664</v>
      </c>
      <c r="T10" s="19" t="n">
        <f aca="false">F10*P10</f>
        <v>14620</v>
      </c>
      <c r="U10" s="19" t="n">
        <f aca="false">S10-T10</f>
        <v>-3956</v>
      </c>
      <c r="V10" s="8" t="str">
        <f aca="false">IF(R10="Supplier-specific","Annual PCF update via PACT",IF(R10="Secondary (DQR fail)","Improve data quality: primary energy data","Send PCF request + survey"))</f>
        <v>Annual PCF update via PACT</v>
      </c>
    </row>
    <row r="11" customFormat="false" ht="15" hidden="false" customHeight="false" outlineLevel="0" collapsed="false">
      <c r="A11" s="8" t="s">
        <v>417</v>
      </c>
      <c r="B11" s="8" t="s">
        <v>418</v>
      </c>
      <c r="C11" s="8" t="s">
        <v>419</v>
      </c>
      <c r="D11" s="8" t="s">
        <v>420</v>
      </c>
      <c r="E11" s="8" t="s">
        <v>191</v>
      </c>
      <c r="F11" s="11" t="n">
        <v>11900</v>
      </c>
      <c r="G11" s="11" t="n">
        <v>1500</v>
      </c>
      <c r="H11" s="20" t="n">
        <v>0.06</v>
      </c>
      <c r="I11" s="36" t="s">
        <v>404</v>
      </c>
      <c r="J11" s="37" t="n">
        <v>2</v>
      </c>
      <c r="K11" s="37" t="n">
        <v>2</v>
      </c>
      <c r="L11" s="37" t="n">
        <v>3</v>
      </c>
      <c r="M11" s="37" t="n">
        <v>2</v>
      </c>
      <c r="N11" s="37" t="n">
        <v>3</v>
      </c>
      <c r="O11" s="38" t="n">
        <f aca="false">IF(H11="","",AVERAGE(J11:N11))</f>
        <v>2.4</v>
      </c>
      <c r="P11" s="23" t="n">
        <f aca="false">VLOOKUP(E11,Emission_Factors!$A:$D,4,FALSE())</f>
        <v>0.08</v>
      </c>
      <c r="Q11" s="39" t="n">
        <f aca="false">IF(AND(H11&lt;&gt;"",O11&lt;&gt;""),IF(O11&lt;=$D$3,H11,P11),P11)</f>
        <v>0.06</v>
      </c>
      <c r="R11" s="8" t="str">
        <f aca="false">IF(H11="","Secondary (no PCF)",IF(O11&lt;=$D$3,"Supplier-specific","Secondary (DQR fail)"))</f>
        <v>Supplier-specific</v>
      </c>
      <c r="S11" s="19" t="n">
        <f aca="false">F11*Q11</f>
        <v>714</v>
      </c>
      <c r="T11" s="19" t="n">
        <f aca="false">F11*P11</f>
        <v>952</v>
      </c>
      <c r="U11" s="19" t="n">
        <f aca="false">S11-T11</f>
        <v>-238</v>
      </c>
      <c r="V11" s="8" t="str">
        <f aca="false">IF(R11="Supplier-specific","Annual PCF update via PACT",IF(R11="Secondary (DQR fail)","Improve data quality: primary energy data","Send PCF request + survey"))</f>
        <v>Annual PCF update via PACT</v>
      </c>
    </row>
    <row r="12" customFormat="false" ht="15" hidden="false" customHeight="false" outlineLevel="0" collapsed="false">
      <c r="A12" s="8" t="s">
        <v>421</v>
      </c>
      <c r="B12" s="8" t="s">
        <v>422</v>
      </c>
      <c r="C12" s="8" t="s">
        <v>402</v>
      </c>
      <c r="D12" s="8" t="s">
        <v>292</v>
      </c>
      <c r="E12" s="8" t="s">
        <v>193</v>
      </c>
      <c r="F12" s="11" t="n">
        <v>4000</v>
      </c>
      <c r="G12" s="11" t="n">
        <v>9200</v>
      </c>
      <c r="H12" s="20"/>
      <c r="I12" s="36"/>
      <c r="J12" s="37"/>
      <c r="K12" s="37"/>
      <c r="L12" s="37"/>
      <c r="M12" s="37"/>
      <c r="N12" s="37"/>
      <c r="O12" s="38" t="str">
        <f aca="false">IF(H12="","",AVERAGE(J12:N12))</f>
        <v/>
      </c>
      <c r="P12" s="23" t="n">
        <f aca="false">VLOOKUP(E12,Emission_Factors!$A:$D,4,FALSE())</f>
        <v>2</v>
      </c>
      <c r="Q12" s="39" t="n">
        <f aca="false">IF(AND(H12&lt;&gt;"",O12&lt;&gt;""),IF(O12&lt;=$D$3,H12,P12),P12)</f>
        <v>2</v>
      </c>
      <c r="R12" s="8" t="str">
        <f aca="false">IF(H12="","Secondary (no PCF)",IF(O12&lt;=$D$3,"Supplier-specific","Secondary (DQR fail)"))</f>
        <v>Secondary (no PCF)</v>
      </c>
      <c r="S12" s="19" t="n">
        <f aca="false">F12*Q12</f>
        <v>8000</v>
      </c>
      <c r="T12" s="19" t="n">
        <f aca="false">F12*P12</f>
        <v>8000</v>
      </c>
      <c r="U12" s="19" t="n">
        <f aca="false">S12-T12</f>
        <v>0</v>
      </c>
      <c r="V12" s="8" t="str">
        <f aca="false">IF(R12="Supplier-specific","Annual PCF update via PACT",IF(R12="Secondary (DQR fail)","Improve data quality: primary energy data","Send PCF request + survey"))</f>
        <v>Send PCF request + survey</v>
      </c>
    </row>
    <row r="13" customFormat="false" ht="15" hidden="false" customHeight="false" outlineLevel="0" collapsed="false">
      <c r="A13" s="8" t="s">
        <v>423</v>
      </c>
      <c r="B13" s="8" t="s">
        <v>424</v>
      </c>
      <c r="C13" s="8" t="s">
        <v>402</v>
      </c>
      <c r="D13" s="8" t="s">
        <v>425</v>
      </c>
      <c r="E13" s="8" t="s">
        <v>197</v>
      </c>
      <c r="F13" s="11" t="n">
        <v>1575</v>
      </c>
      <c r="G13" s="11" t="n">
        <v>7900</v>
      </c>
      <c r="H13" s="20" t="n">
        <v>2.7</v>
      </c>
      <c r="I13" s="36" t="s">
        <v>416</v>
      </c>
      <c r="J13" s="37" t="n">
        <v>2</v>
      </c>
      <c r="K13" s="37" t="n">
        <v>2</v>
      </c>
      <c r="L13" s="37" t="n">
        <v>1</v>
      </c>
      <c r="M13" s="37" t="n">
        <v>2</v>
      </c>
      <c r="N13" s="37" t="n">
        <v>2</v>
      </c>
      <c r="O13" s="38" t="n">
        <f aca="false">IF(H13="","",AVERAGE(J13:N13))</f>
        <v>1.8</v>
      </c>
      <c r="P13" s="23" t="n">
        <f aca="false">VLOOKUP(E13,Emission_Factors!$A:$D,4,FALSE())</f>
        <v>3.2</v>
      </c>
      <c r="Q13" s="39" t="n">
        <f aca="false">IF(AND(H13&lt;&gt;"",O13&lt;&gt;""),IF(O13&lt;=$D$3,H13,P13),P13)</f>
        <v>2.7</v>
      </c>
      <c r="R13" s="8" t="str">
        <f aca="false">IF(H13="","Secondary (no PCF)",IF(O13&lt;=$D$3,"Supplier-specific","Secondary (DQR fail)"))</f>
        <v>Supplier-specific</v>
      </c>
      <c r="S13" s="19" t="n">
        <f aca="false">F13*Q13</f>
        <v>4252.5</v>
      </c>
      <c r="T13" s="19" t="n">
        <f aca="false">F13*P13</f>
        <v>5040</v>
      </c>
      <c r="U13" s="19" t="n">
        <f aca="false">S13-T13</f>
        <v>-787.5</v>
      </c>
      <c r="V13" s="8" t="str">
        <f aca="false">IF(R13="Supplier-specific","Annual PCF update via PACT",IF(R13="Secondary (DQR fail)","Improve data quality: primary energy data","Send PCF request + survey"))</f>
        <v>Annual PCF update via PACT</v>
      </c>
    </row>
    <row r="14" customFormat="false" ht="15" hidden="false" customHeight="false" outlineLevel="0" collapsed="false">
      <c r="A14" s="8" t="s">
        <v>426</v>
      </c>
      <c r="B14" s="8" t="s">
        <v>427</v>
      </c>
      <c r="C14" s="8" t="s">
        <v>428</v>
      </c>
      <c r="D14" s="8" t="s">
        <v>429</v>
      </c>
      <c r="E14" s="8" t="s">
        <v>200</v>
      </c>
      <c r="F14" s="11" t="n">
        <v>840</v>
      </c>
      <c r="G14" s="11" t="n">
        <v>3400</v>
      </c>
      <c r="H14" s="20"/>
      <c r="I14" s="36"/>
      <c r="J14" s="37"/>
      <c r="K14" s="37"/>
      <c r="L14" s="37"/>
      <c r="M14" s="37"/>
      <c r="N14" s="37"/>
      <c r="O14" s="38" t="str">
        <f aca="false">IF(H14="","",AVERAGE(J14:N14))</f>
        <v/>
      </c>
      <c r="P14" s="23" t="n">
        <f aca="false">VLOOKUP(E14,Emission_Factors!$A:$D,4,FALSE())</f>
        <v>2.5</v>
      </c>
      <c r="Q14" s="39" t="n">
        <f aca="false">IF(AND(H14&lt;&gt;"",O14&lt;&gt;""),IF(O14&lt;=$D$3,H14,P14),P14)</f>
        <v>2.5</v>
      </c>
      <c r="R14" s="8" t="str">
        <f aca="false">IF(H14="","Secondary (no PCF)",IF(O14&lt;=$D$3,"Supplier-specific","Secondary (DQR fail)"))</f>
        <v>Secondary (no PCF)</v>
      </c>
      <c r="S14" s="19" t="n">
        <f aca="false">F14*Q14</f>
        <v>2100</v>
      </c>
      <c r="T14" s="19" t="n">
        <f aca="false">F14*P14</f>
        <v>2100</v>
      </c>
      <c r="U14" s="19" t="n">
        <f aca="false">S14-T14</f>
        <v>0</v>
      </c>
      <c r="V14" s="8" t="str">
        <f aca="false">IF(R14="Supplier-specific","Annual PCF update via PACT",IF(R14="Secondary (DQR fail)","Improve data quality: primary energy data","Send PCF request + survey"))</f>
        <v>Send PCF request + survey</v>
      </c>
    </row>
    <row r="15" customFormat="false" ht="15" hidden="false" customHeight="false" outlineLevel="0" collapsed="false">
      <c r="A15" s="8" t="s">
        <v>430</v>
      </c>
      <c r="B15" s="8" t="s">
        <v>431</v>
      </c>
      <c r="C15" s="8" t="s">
        <v>402</v>
      </c>
      <c r="D15" s="8" t="s">
        <v>432</v>
      </c>
      <c r="E15" s="8" t="s">
        <v>202</v>
      </c>
      <c r="F15" s="11" t="n">
        <v>525</v>
      </c>
      <c r="G15" s="11" t="n">
        <v>1600</v>
      </c>
      <c r="H15" s="20" t="n">
        <v>1.5</v>
      </c>
      <c r="I15" s="36" t="s">
        <v>404</v>
      </c>
      <c r="J15" s="37" t="n">
        <v>2</v>
      </c>
      <c r="K15" s="37" t="n">
        <v>2</v>
      </c>
      <c r="L15" s="37" t="n">
        <v>2</v>
      </c>
      <c r="M15" s="37" t="n">
        <v>3</v>
      </c>
      <c r="N15" s="37" t="n">
        <v>3</v>
      </c>
      <c r="O15" s="38" t="n">
        <f aca="false">IF(H15="","",AVERAGE(J15:N15))</f>
        <v>2.4</v>
      </c>
      <c r="P15" s="23" t="n">
        <f aca="false">VLOOKUP(E15,Emission_Factors!$A:$D,4,FALSE())</f>
        <v>1.8</v>
      </c>
      <c r="Q15" s="39" t="n">
        <f aca="false">IF(AND(H15&lt;&gt;"",O15&lt;&gt;""),IF(O15&lt;=$D$3,H15,P15),P15)</f>
        <v>1.5</v>
      </c>
      <c r="R15" s="8" t="str">
        <f aca="false">IF(H15="","Secondary (no PCF)",IF(O15&lt;=$D$3,"Supplier-specific","Secondary (DQR fail)"))</f>
        <v>Supplier-specific</v>
      </c>
      <c r="S15" s="19" t="n">
        <f aca="false">F15*Q15</f>
        <v>787.5</v>
      </c>
      <c r="T15" s="19" t="n">
        <f aca="false">F15*P15</f>
        <v>945</v>
      </c>
      <c r="U15" s="19" t="n">
        <f aca="false">S15-T15</f>
        <v>-157.5</v>
      </c>
      <c r="V15" s="8" t="str">
        <f aca="false">IF(R15="Supplier-specific","Annual PCF update via PACT",IF(R15="Secondary (DQR fail)","Improve data quality: primary energy data","Send PCF request + survey"))</f>
        <v>Annual PCF update via PACT</v>
      </c>
    </row>
    <row r="16" customFormat="false" ht="15" hidden="false" customHeight="false" outlineLevel="0" collapsed="false">
      <c r="A16" s="8" t="s">
        <v>433</v>
      </c>
      <c r="B16" s="8" t="s">
        <v>434</v>
      </c>
      <c r="C16" s="8" t="s">
        <v>435</v>
      </c>
      <c r="D16" s="8" t="s">
        <v>436</v>
      </c>
      <c r="E16" s="8" t="s">
        <v>204</v>
      </c>
      <c r="F16" s="11" t="n">
        <v>855</v>
      </c>
      <c r="G16" s="11" t="n">
        <v>1700</v>
      </c>
      <c r="H16" s="20"/>
      <c r="I16" s="36"/>
      <c r="J16" s="37"/>
      <c r="K16" s="37"/>
      <c r="L16" s="37"/>
      <c r="M16" s="37"/>
      <c r="N16" s="37"/>
      <c r="O16" s="38" t="str">
        <f aca="false">IF(H16="","",AVERAGE(J16:N16))</f>
        <v/>
      </c>
      <c r="P16" s="23" t="n">
        <f aca="false">VLOOKUP(E16,Emission_Factors!$A:$D,4,FALSE())</f>
        <v>2.6</v>
      </c>
      <c r="Q16" s="39" t="n">
        <f aca="false">IF(AND(H16&lt;&gt;"",O16&lt;&gt;""),IF(O16&lt;=$D$3,H16,P16),P16)</f>
        <v>2.6</v>
      </c>
      <c r="R16" s="8" t="str">
        <f aca="false">IF(H16="","Secondary (no PCF)",IF(O16&lt;=$D$3,"Supplier-specific","Secondary (DQR fail)"))</f>
        <v>Secondary (no PCF)</v>
      </c>
      <c r="S16" s="19" t="n">
        <f aca="false">F16*Q16</f>
        <v>2223</v>
      </c>
      <c r="T16" s="19" t="n">
        <f aca="false">F16*P16</f>
        <v>2223</v>
      </c>
      <c r="U16" s="19" t="n">
        <f aca="false">S16-T16</f>
        <v>0</v>
      </c>
      <c r="V16" s="8" t="str">
        <f aca="false">IF(R16="Supplier-specific","Annual PCF update via PACT",IF(R16="Secondary (DQR fail)","Improve data quality: primary energy data","Send PCF request + survey"))</f>
        <v>Send PCF request + survey</v>
      </c>
    </row>
    <row r="17" customFormat="false" ht="15" hidden="false" customHeight="false" outlineLevel="0" collapsed="false">
      <c r="A17" s="8" t="s">
        <v>437</v>
      </c>
      <c r="B17" s="8" t="s">
        <v>438</v>
      </c>
      <c r="C17" s="8" t="s">
        <v>402</v>
      </c>
      <c r="D17" s="8" t="s">
        <v>355</v>
      </c>
      <c r="E17" s="8" t="s">
        <v>207</v>
      </c>
      <c r="F17" s="11" t="n">
        <v>202500</v>
      </c>
      <c r="G17" s="11" t="n">
        <v>4100</v>
      </c>
      <c r="H17" s="20" t="n">
        <v>0.005</v>
      </c>
      <c r="I17" s="36" t="s">
        <v>439</v>
      </c>
      <c r="J17" s="37" t="n">
        <v>2</v>
      </c>
      <c r="K17" s="37" t="n">
        <v>1</v>
      </c>
      <c r="L17" s="37" t="n">
        <v>2</v>
      </c>
      <c r="M17" s="37" t="n">
        <v>2</v>
      </c>
      <c r="N17" s="37" t="n">
        <v>1</v>
      </c>
      <c r="O17" s="38" t="n">
        <f aca="false">IF(H17="","",AVERAGE(J17:N17))</f>
        <v>1.6</v>
      </c>
      <c r="P17" s="23" t="n">
        <f aca="false">VLOOKUP(E17,Emission_Factors!$A:$D,4,FALSE())</f>
        <v>0.004</v>
      </c>
      <c r="Q17" s="39" t="n">
        <f aca="false">IF(AND(H17&lt;&gt;"",O17&lt;&gt;""),IF(O17&lt;=$D$3,H17,P17),P17)</f>
        <v>0.005</v>
      </c>
      <c r="R17" s="8" t="str">
        <f aca="false">IF(H17="","Secondary (no PCF)",IF(O17&lt;=$D$3,"Supplier-specific","Secondary (DQR fail)"))</f>
        <v>Supplier-specific</v>
      </c>
      <c r="S17" s="19" t="n">
        <f aca="false">F17*Q17</f>
        <v>1012.5</v>
      </c>
      <c r="T17" s="19" t="n">
        <f aca="false">F17*P17</f>
        <v>810</v>
      </c>
      <c r="U17" s="19" t="n">
        <f aca="false">S17-T17</f>
        <v>202.5</v>
      </c>
      <c r="V17" s="8" t="str">
        <f aca="false">IF(R17="Supplier-specific","Annual PCF update via PACT",IF(R17="Secondary (DQR fail)","Improve data quality: primary energy data","Send PCF request + survey"))</f>
        <v>Annual PCF update via PACT</v>
      </c>
    </row>
    <row r="18" customFormat="false" ht="15" hidden="false" customHeight="false" outlineLevel="0" collapsed="false">
      <c r="A18" s="8" t="s">
        <v>440</v>
      </c>
      <c r="B18" s="8" t="s">
        <v>441</v>
      </c>
      <c r="C18" s="8" t="s">
        <v>402</v>
      </c>
      <c r="D18" s="8" t="s">
        <v>356</v>
      </c>
      <c r="E18" s="8" t="s">
        <v>210</v>
      </c>
      <c r="F18" s="11" t="n">
        <v>121500</v>
      </c>
      <c r="G18" s="11" t="n">
        <v>1800</v>
      </c>
      <c r="H18" s="20"/>
      <c r="I18" s="36"/>
      <c r="J18" s="37"/>
      <c r="K18" s="37"/>
      <c r="L18" s="37"/>
      <c r="M18" s="37"/>
      <c r="N18" s="37"/>
      <c r="O18" s="38" t="str">
        <f aca="false">IF(H18="","",AVERAGE(J18:N18))</f>
        <v/>
      </c>
      <c r="P18" s="23" t="n">
        <f aca="false">VLOOKUP(E18,Emission_Factors!$A:$D,4,FALSE())</f>
        <v>0.002</v>
      </c>
      <c r="Q18" s="39" t="n">
        <f aca="false">IF(AND(H18&lt;&gt;"",O18&lt;&gt;""),IF(O18&lt;=$D$3,H18,P18),P18)</f>
        <v>0.002</v>
      </c>
      <c r="R18" s="8" t="str">
        <f aca="false">IF(H18="","Secondary (no PCF)",IF(O18&lt;=$D$3,"Supplier-specific","Secondary (DQR fail)"))</f>
        <v>Secondary (no PCF)</v>
      </c>
      <c r="S18" s="19" t="n">
        <f aca="false">F18*Q18</f>
        <v>243</v>
      </c>
      <c r="T18" s="19" t="n">
        <f aca="false">F18*P18</f>
        <v>243</v>
      </c>
      <c r="U18" s="19" t="n">
        <f aca="false">S18-T18</f>
        <v>0</v>
      </c>
      <c r="V18" s="8" t="str">
        <f aca="false">IF(R18="Supplier-specific","Annual PCF update via PACT",IF(R18="Secondary (DQR fail)","Improve data quality: primary energy data","Send PCF request + survey"))</f>
        <v>Send PCF request + survey</v>
      </c>
    </row>
    <row r="19" customFormat="false" ht="15" hidden="false" customHeight="false" outlineLevel="0" collapsed="false">
      <c r="A19" s="8" t="s">
        <v>442</v>
      </c>
      <c r="B19" s="8" t="s">
        <v>443</v>
      </c>
      <c r="C19" s="8" t="s">
        <v>402</v>
      </c>
      <c r="D19" s="8" t="s">
        <v>357</v>
      </c>
      <c r="E19" s="8" t="s">
        <v>214</v>
      </c>
      <c r="F19" s="11" t="n">
        <v>81000</v>
      </c>
      <c r="G19" s="11" t="n">
        <v>2400</v>
      </c>
      <c r="H19" s="20" t="n">
        <v>0.007</v>
      </c>
      <c r="I19" s="36" t="s">
        <v>404</v>
      </c>
      <c r="J19" s="37" t="n">
        <v>2</v>
      </c>
      <c r="K19" s="37" t="n">
        <v>1</v>
      </c>
      <c r="L19" s="37" t="n">
        <v>1</v>
      </c>
      <c r="M19" s="37" t="n">
        <v>2</v>
      </c>
      <c r="N19" s="37" t="n">
        <v>3</v>
      </c>
      <c r="O19" s="38" t="n">
        <f aca="false">IF(H19="","",AVERAGE(J19:N19))</f>
        <v>1.8</v>
      </c>
      <c r="P19" s="23" t="n">
        <f aca="false">VLOOKUP(E19,Emission_Factors!$A:$D,4,FALSE())</f>
        <v>0.008</v>
      </c>
      <c r="Q19" s="39" t="n">
        <f aca="false">IF(AND(H19&lt;&gt;"",O19&lt;&gt;""),IF(O19&lt;=$D$3,H19,P19),P19)</f>
        <v>0.007</v>
      </c>
      <c r="R19" s="8" t="str">
        <f aca="false">IF(H19="","Secondary (no PCF)",IF(O19&lt;=$D$3,"Supplier-specific","Secondary (DQR fail)"))</f>
        <v>Supplier-specific</v>
      </c>
      <c r="S19" s="19" t="n">
        <f aca="false">F19*Q19</f>
        <v>567</v>
      </c>
      <c r="T19" s="19" t="n">
        <f aca="false">F19*P19</f>
        <v>648</v>
      </c>
      <c r="U19" s="19" t="n">
        <f aca="false">S19-T19</f>
        <v>-81</v>
      </c>
      <c r="V19" s="8" t="str">
        <f aca="false">IF(R19="Supplier-specific","Annual PCF update via PACT",IF(R19="Secondary (DQR fail)","Improve data quality: primary energy data","Send PCF request + survey"))</f>
        <v>Annual PCF update via PACT</v>
      </c>
    </row>
    <row r="20" customFormat="false" ht="15" hidden="false" customHeight="false" outlineLevel="0" collapsed="false">
      <c r="A20" s="8" t="s">
        <v>444</v>
      </c>
      <c r="B20" s="8" t="s">
        <v>445</v>
      </c>
      <c r="C20" s="8" t="s">
        <v>446</v>
      </c>
      <c r="D20" s="8" t="s">
        <v>218</v>
      </c>
      <c r="E20" s="8" t="s">
        <v>217</v>
      </c>
      <c r="F20" s="11" t="n">
        <v>450</v>
      </c>
      <c r="G20" s="11" t="n">
        <v>900</v>
      </c>
      <c r="H20" s="20"/>
      <c r="I20" s="36"/>
      <c r="J20" s="37"/>
      <c r="K20" s="37"/>
      <c r="L20" s="37"/>
      <c r="M20" s="37"/>
      <c r="N20" s="37"/>
      <c r="O20" s="38" t="str">
        <f aca="false">IF(H20="","",AVERAGE(J20:N20))</f>
        <v/>
      </c>
      <c r="P20" s="23" t="n">
        <f aca="false">VLOOKUP(E20,Emission_Factors!$A:$D,4,FALSE())</f>
        <v>1.6</v>
      </c>
      <c r="Q20" s="39" t="n">
        <f aca="false">IF(AND(H20&lt;&gt;"",O20&lt;&gt;""),IF(O20&lt;=$D$3,H20,P20),P20)</f>
        <v>1.6</v>
      </c>
      <c r="R20" s="8" t="str">
        <f aca="false">IF(H20="","Secondary (no PCF)",IF(O20&lt;=$D$3,"Supplier-specific","Secondary (DQR fail)"))</f>
        <v>Secondary (no PCF)</v>
      </c>
      <c r="S20" s="19" t="n">
        <f aca="false">F20*Q20</f>
        <v>720</v>
      </c>
      <c r="T20" s="19" t="n">
        <f aca="false">F20*P20</f>
        <v>720</v>
      </c>
      <c r="U20" s="19" t="n">
        <f aca="false">S20-T20</f>
        <v>0</v>
      </c>
      <c r="V20" s="8" t="str">
        <f aca="false">IF(R20="Supplier-specific","Annual PCF update via PACT",IF(R20="Secondary (DQR fail)","Improve data quality: primary energy data","Send PCF request + survey"))</f>
        <v>Send PCF request + survey</v>
      </c>
    </row>
    <row r="21" customFormat="false" ht="15" hidden="false" customHeight="false" outlineLevel="0" collapsed="false">
      <c r="A21" s="8" t="s">
        <v>447</v>
      </c>
      <c r="B21" s="8" t="s">
        <v>448</v>
      </c>
      <c r="C21" s="8" t="s">
        <v>402</v>
      </c>
      <c r="D21" s="8" t="s">
        <v>449</v>
      </c>
      <c r="E21" s="8" t="s">
        <v>219</v>
      </c>
      <c r="F21" s="11" t="n">
        <v>225</v>
      </c>
      <c r="G21" s="11" t="n">
        <v>1100</v>
      </c>
      <c r="H21" s="20"/>
      <c r="I21" s="36"/>
      <c r="J21" s="37"/>
      <c r="K21" s="37"/>
      <c r="L21" s="37"/>
      <c r="M21" s="37"/>
      <c r="N21" s="37"/>
      <c r="O21" s="38" t="str">
        <f aca="false">IF(H21="","",AVERAGE(J21:N21))</f>
        <v/>
      </c>
      <c r="P21" s="23" t="n">
        <f aca="false">VLOOKUP(E21,Emission_Factors!$A:$D,4,FALSE())</f>
        <v>2.3</v>
      </c>
      <c r="Q21" s="39" t="n">
        <f aca="false">IF(AND(H21&lt;&gt;"",O21&lt;&gt;""),IF(O21&lt;=$D$3,H21,P21),P21)</f>
        <v>2.3</v>
      </c>
      <c r="R21" s="8" t="str">
        <f aca="false">IF(H21="","Secondary (no PCF)",IF(O21&lt;=$D$3,"Supplier-specific","Secondary (DQR fail)"))</f>
        <v>Secondary (no PCF)</v>
      </c>
      <c r="S21" s="19" t="n">
        <f aca="false">F21*Q21</f>
        <v>517.5</v>
      </c>
      <c r="T21" s="19" t="n">
        <f aca="false">F21*P21</f>
        <v>517.5</v>
      </c>
      <c r="U21" s="19" t="n">
        <f aca="false">S21-T21</f>
        <v>0</v>
      </c>
      <c r="V21" s="8" t="str">
        <f aca="false">IF(R21="Supplier-specific","Annual PCF update via PACT",IF(R21="Secondary (DQR fail)","Improve data quality: primary energy data","Send PCF request + survey"))</f>
        <v>Send PCF request + survey</v>
      </c>
    </row>
    <row r="22" customFormat="false" ht="15" hidden="false" customHeight="false" outlineLevel="0" collapsed="false">
      <c r="A22" s="25" t="s">
        <v>450</v>
      </c>
      <c r="B22" s="26"/>
      <c r="C22" s="26"/>
      <c r="D22" s="26"/>
      <c r="E22" s="26"/>
      <c r="F22" s="40" t="n">
        <f aca="false">SUM(F6:F21)</f>
        <v>884570</v>
      </c>
      <c r="G22" s="40" t="n">
        <f aca="false">SUM(G6:G21)</f>
        <v>96600</v>
      </c>
      <c r="H22" s="26"/>
      <c r="I22" s="26"/>
      <c r="J22" s="26"/>
      <c r="K22" s="26"/>
      <c r="L22" s="26"/>
      <c r="M22" s="26"/>
      <c r="N22" s="26"/>
      <c r="O22" s="41" t="n">
        <f aca="false">IFERROR(AVERAGE(O6:O21),"")</f>
        <v>2.175</v>
      </c>
      <c r="P22" s="26"/>
      <c r="Q22" s="26"/>
      <c r="R22" s="26"/>
      <c r="S22" s="40" t="n">
        <f aca="false">SUM(S6:S21)</f>
        <v>37951</v>
      </c>
      <c r="T22" s="40" t="n">
        <f aca="false">SUM(T6:T21)</f>
        <v>43448.5</v>
      </c>
      <c r="U22" s="40" t="n">
        <f aca="false">SUM(U6:U21)</f>
        <v>-5497.5</v>
      </c>
      <c r="V22" s="26"/>
    </row>
    <row r="24" customFormat="false" ht="15" hidden="false" customHeight="false" outlineLevel="0" collapsed="false">
      <c r="A24" s="35" t="s">
        <v>451</v>
      </c>
    </row>
  </sheetData>
  <conditionalFormatting sqref="R6:R21">
    <cfRule type="expression" priority="2" aboveAverage="0" equalAverage="0" bottom="0" percent="0" rank="0" text="" dxfId="0">
      <formula>R6="Supplier-specific"</formula>
    </cfRule>
    <cfRule type="expression" priority="3" aboveAverage="0" equalAverage="0" bottom="0" percent="0" rank="0" text="" dxfId="1">
      <formula>R6="Secondary (DQR fail)"</formula>
    </cfRule>
  </conditionalFormatting>
  <dataValidations count="1">
    <dataValidation allowBlank="true" errorStyle="stop" operator="between" showDropDown="false" showErrorMessage="false" showInputMessage="false" sqref="J6:N2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J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3" min="3" style="0" width="15"/>
    <col collapsed="false" customWidth="true" hidden="false" outlineLevel="0" max="4" min="4" style="0" width="9"/>
    <col collapsed="false" customWidth="true" hidden="false" outlineLevel="0" max="5" min="5" style="0" width="10"/>
    <col collapsed="false" customWidth="true" hidden="false" outlineLevel="0" max="6" min="6" style="0" width="11"/>
    <col collapsed="false" customWidth="true" hidden="false" outlineLevel="0" max="7" min="7" style="0" width="13"/>
    <col collapsed="false" customWidth="true" hidden="false" outlineLevel="0" max="8" min="8" style="0" width="20"/>
    <col collapsed="false" customWidth="true" hidden="false" outlineLevel="0" max="9" min="9" style="0" width="7"/>
    <col collapsed="false" customWidth="true" hidden="false" outlineLevel="0" max="10" min="10" style="0" width="44"/>
  </cols>
  <sheetData>
    <row r="1" customFormat="false" ht="17.35" hidden="false" customHeight="false" outlineLevel="0" collapsed="false">
      <c r="A1" s="1" t="s">
        <v>452</v>
      </c>
    </row>
    <row r="2" customFormat="false" ht="15" hidden="false" customHeight="false" outlineLevel="0" collapsed="false">
      <c r="A2" s="2" t="s">
        <v>453</v>
      </c>
    </row>
    <row r="4" customFormat="false" ht="30" hidden="false" customHeight="true" outlineLevel="0" collapsed="false">
      <c r="A4" s="5" t="s">
        <v>454</v>
      </c>
      <c r="B4" s="5" t="s">
        <v>455</v>
      </c>
      <c r="C4" s="5" t="s">
        <v>456</v>
      </c>
      <c r="D4" s="5" t="s">
        <v>24</v>
      </c>
      <c r="E4" s="5" t="s">
        <v>146</v>
      </c>
      <c r="F4" s="5" t="s">
        <v>457</v>
      </c>
      <c r="G4" s="5" t="s">
        <v>30</v>
      </c>
      <c r="H4" s="5" t="s">
        <v>458</v>
      </c>
      <c r="I4" s="5" t="s">
        <v>459</v>
      </c>
      <c r="J4" s="5" t="s">
        <v>460</v>
      </c>
    </row>
    <row r="5" customFormat="false" ht="15" hidden="false" customHeight="false" outlineLevel="0" collapsed="false">
      <c r="A5" s="6" t="s">
        <v>461</v>
      </c>
      <c r="B5" s="7"/>
      <c r="C5" s="7"/>
      <c r="D5" s="7"/>
      <c r="E5" s="7"/>
      <c r="F5" s="7"/>
      <c r="G5" s="7"/>
      <c r="H5" s="7"/>
      <c r="I5" s="7"/>
      <c r="J5" s="7"/>
    </row>
    <row r="6" customFormat="false" ht="15" hidden="false" customHeight="false" outlineLevel="0" collapsed="false">
      <c r="A6" s="8" t="s">
        <v>462</v>
      </c>
      <c r="B6" s="8" t="s">
        <v>463</v>
      </c>
      <c r="C6" s="16" t="n">
        <f aca="false">Company_Inputs!$B$13*PCF_Board!$C$15</f>
        <v>675440909.090909</v>
      </c>
      <c r="D6" s="8" t="s">
        <v>154</v>
      </c>
      <c r="E6" s="8" t="s">
        <v>152</v>
      </c>
      <c r="F6" s="23" t="n">
        <f aca="false">VLOOKUP(E6,Emission_Factors!$A:$D,4,FALSE())</f>
        <v>0.201</v>
      </c>
      <c r="G6" s="19" t="n">
        <f aca="false">C6*F6/1000</f>
        <v>135763.622727273</v>
      </c>
      <c r="H6" s="8" t="s">
        <v>333</v>
      </c>
      <c r="I6" s="37" t="n">
        <v>1</v>
      </c>
      <c r="J6" s="8" t="s">
        <v>464</v>
      </c>
    </row>
    <row r="7" customFormat="false" ht="15" hidden="false" customHeight="false" outlineLevel="0" collapsed="false">
      <c r="A7" s="8" t="s">
        <v>462</v>
      </c>
      <c r="B7" s="8" t="s">
        <v>465</v>
      </c>
      <c r="C7" s="16" t="n">
        <f aca="false">Company_Inputs!$B$8*PCF_FoldingCarton!$C$16</f>
        <v>8400000</v>
      </c>
      <c r="D7" s="8" t="s">
        <v>154</v>
      </c>
      <c r="E7" s="8" t="s">
        <v>152</v>
      </c>
      <c r="F7" s="23" t="n">
        <f aca="false">VLOOKUP(E7,Emission_Factors!$A:$D,4,FALSE())</f>
        <v>0.201</v>
      </c>
      <c r="G7" s="19" t="n">
        <f aca="false">C7*F7/1000</f>
        <v>1688.4</v>
      </c>
      <c r="H7" s="8" t="s">
        <v>333</v>
      </c>
      <c r="I7" s="37" t="n">
        <v>1</v>
      </c>
      <c r="J7" s="8"/>
    </row>
    <row r="8" customFormat="false" ht="15" hidden="false" customHeight="false" outlineLevel="0" collapsed="false">
      <c r="A8" s="8" t="s">
        <v>462</v>
      </c>
      <c r="B8" s="8" t="s">
        <v>466</v>
      </c>
      <c r="C8" s="16" t="n">
        <f aca="false">Company_Inputs!$B$9*(PCF_GypsumBoard!$C$22+PCF_GypsumBoard!$C$23)</f>
        <v>301500000</v>
      </c>
      <c r="D8" s="8" t="s">
        <v>154</v>
      </c>
      <c r="E8" s="8" t="s">
        <v>152</v>
      </c>
      <c r="F8" s="23" t="n">
        <f aca="false">VLOOKUP(E8,Emission_Factors!$A:$D,4,FALSE())</f>
        <v>0.201</v>
      </c>
      <c r="G8" s="19" t="n">
        <f aca="false">C8*F8/1000</f>
        <v>60601.5</v>
      </c>
      <c r="H8" s="8" t="s">
        <v>333</v>
      </c>
      <c r="I8" s="37" t="n">
        <v>1</v>
      </c>
      <c r="J8" s="8"/>
    </row>
    <row r="9" customFormat="false" ht="15" hidden="false" customHeight="false" outlineLevel="0" collapsed="false">
      <c r="A9" s="8" t="s">
        <v>462</v>
      </c>
      <c r="B9" s="8" t="s">
        <v>467</v>
      </c>
      <c r="C9" s="16" t="n">
        <f aca="false">Company_Inputs!$B$20</f>
        <v>1500000</v>
      </c>
      <c r="D9" s="8" t="s">
        <v>120</v>
      </c>
      <c r="E9" s="8" t="s">
        <v>253</v>
      </c>
      <c r="F9" s="23" t="n">
        <f aca="false">VLOOKUP(E9,Emission_Factors!$A:$D,4,FALSE())</f>
        <v>2.65</v>
      </c>
      <c r="G9" s="19" t="n">
        <f aca="false">C9*F9/1000</f>
        <v>3975</v>
      </c>
      <c r="H9" s="8" t="s">
        <v>468</v>
      </c>
      <c r="I9" s="37" t="n">
        <v>1</v>
      </c>
      <c r="J9" s="8"/>
    </row>
    <row r="10" customFormat="false" ht="15" hidden="false" customHeight="false" outlineLevel="0" collapsed="false">
      <c r="A10" s="6" t="s">
        <v>469</v>
      </c>
      <c r="B10" s="7"/>
      <c r="C10" s="7"/>
      <c r="D10" s="7"/>
      <c r="E10" s="7"/>
      <c r="F10" s="7"/>
      <c r="G10" s="7"/>
      <c r="H10" s="7"/>
      <c r="I10" s="7"/>
      <c r="J10" s="7"/>
    </row>
    <row r="11" customFormat="false" ht="15" hidden="false" customHeight="false" outlineLevel="0" collapsed="false">
      <c r="A11" s="8" t="s">
        <v>470</v>
      </c>
      <c r="B11" s="8" t="s">
        <v>471</v>
      </c>
      <c r="C11" s="16" t="n">
        <f aca="false">Company_Inputs!$B$13*PCF_Board!$C$17+Company_Inputs!$B$8*PCF_FoldingCarton!$C$18+Company_Inputs!$B$9*PCF_GypsumBoard!$C$25</f>
        <v>232043181.818182</v>
      </c>
      <c r="D11" s="8" t="s">
        <v>154</v>
      </c>
      <c r="E11" s="8" t="s">
        <v>161</v>
      </c>
      <c r="F11" s="23" t="n">
        <f aca="false">VLOOKUP(E11,Emission_Factors!$A:$D,4,FALSE())</f>
        <v>0.363</v>
      </c>
      <c r="G11" s="19" t="n">
        <f aca="false">C11*F11/1000</f>
        <v>84231.675</v>
      </c>
      <c r="H11" s="8" t="s">
        <v>333</v>
      </c>
      <c r="I11" s="37" t="n">
        <v>1</v>
      </c>
      <c r="J11" s="8" t="s">
        <v>472</v>
      </c>
    </row>
    <row r="12" customFormat="false" ht="15" hidden="false" customHeight="false" outlineLevel="0" collapsed="false">
      <c r="A12" s="8" t="s">
        <v>473</v>
      </c>
      <c r="B12" s="8" t="s">
        <v>474</v>
      </c>
      <c r="C12" s="16" t="n">
        <f aca="false">C11*(1-Company_Inputs!$B$21)</f>
        <v>174032386.363636</v>
      </c>
      <c r="D12" s="8" t="s">
        <v>154</v>
      </c>
      <c r="E12" s="8" t="s">
        <v>260</v>
      </c>
      <c r="F12" s="23" t="n">
        <f aca="false">VLOOKUP(E12,Emission_Factors!$A:$D,4,FALSE())</f>
        <v>0.62</v>
      </c>
      <c r="G12" s="19" t="n">
        <f aca="false">C12*F12/1000</f>
        <v>107900.079545455</v>
      </c>
      <c r="H12" s="8" t="s">
        <v>475</v>
      </c>
      <c r="I12" s="37" t="n">
        <v>2</v>
      </c>
      <c r="J12" s="8" t="s">
        <v>476</v>
      </c>
    </row>
    <row r="13" customFormat="false" ht="15" hidden="false" customHeight="false" outlineLevel="0" collapsed="false">
      <c r="A13" s="6" t="s">
        <v>477</v>
      </c>
      <c r="B13" s="7"/>
      <c r="C13" s="7"/>
      <c r="D13" s="7"/>
      <c r="E13" s="7"/>
      <c r="F13" s="7"/>
      <c r="G13" s="7"/>
      <c r="H13" s="7"/>
      <c r="I13" s="7"/>
      <c r="J13" s="7"/>
    </row>
    <row r="14" customFormat="false" ht="15" hidden="false" customHeight="false" outlineLevel="0" collapsed="false">
      <c r="A14" s="8" t="s">
        <v>478</v>
      </c>
      <c r="B14" s="8" t="s">
        <v>479</v>
      </c>
      <c r="C14" s="16" t="n">
        <f aca="false">SUMIFS(Supplier_Register!$F$6:$F$21,Supplier_Register!$D$6:$D$21,"Recovered paper")</f>
        <v>442000</v>
      </c>
      <c r="D14" s="8" t="s">
        <v>70</v>
      </c>
      <c r="E14" s="8" t="s">
        <v>480</v>
      </c>
      <c r="F14" s="39" t="n">
        <f aca="false">IFERROR(G14/C14,0)</f>
        <v>0.0139140271493213</v>
      </c>
      <c r="G14" s="16" t="n">
        <f aca="false">SUMIFS(Supplier_Register!$S$6:$S$21,Supplier_Register!$D$6:$D$21,"Recovered paper")</f>
        <v>6150</v>
      </c>
      <c r="H14" s="8" t="s">
        <v>481</v>
      </c>
      <c r="I14" s="37" t="n">
        <v>2</v>
      </c>
      <c r="J14" s="8" t="s">
        <v>482</v>
      </c>
    </row>
    <row r="15" customFormat="false" ht="15" hidden="false" customHeight="false" outlineLevel="0" collapsed="false">
      <c r="A15" s="8" t="s">
        <v>478</v>
      </c>
      <c r="B15" s="8" t="s">
        <v>483</v>
      </c>
      <c r="C15" s="16" t="n">
        <f aca="false">SUMIFS(Supplier_Register!$F$6:$F$21,Supplier_Register!$D$6:$D$21,"Native starch")</f>
        <v>17200</v>
      </c>
      <c r="D15" s="8" t="s">
        <v>70</v>
      </c>
      <c r="E15" s="8" t="s">
        <v>480</v>
      </c>
      <c r="F15" s="39" t="n">
        <f aca="false">IFERROR(G15/C15,0)</f>
        <v>0.62</v>
      </c>
      <c r="G15" s="16" t="n">
        <f aca="false">SUMIFS(Supplier_Register!$S$6:$S$21,Supplier_Register!$D$6:$D$21,"Native starch")</f>
        <v>10664</v>
      </c>
      <c r="H15" s="8" t="s">
        <v>481</v>
      </c>
      <c r="I15" s="37" t="n">
        <v>2</v>
      </c>
      <c r="J15" s="8" t="s">
        <v>482</v>
      </c>
    </row>
    <row r="16" customFormat="false" ht="15" hidden="false" customHeight="false" outlineLevel="0" collapsed="false">
      <c r="A16" s="8" t="s">
        <v>478</v>
      </c>
      <c r="B16" s="8" t="s">
        <v>484</v>
      </c>
      <c r="C16" s="16" t="n">
        <f aca="false">SUMIFS(Supplier_Register!$F$6:$F$21,Supplier_Register!$D$6:$D$21,"Calcium carbonate")</f>
        <v>11900</v>
      </c>
      <c r="D16" s="8" t="s">
        <v>70</v>
      </c>
      <c r="E16" s="8" t="s">
        <v>480</v>
      </c>
      <c r="F16" s="39" t="n">
        <f aca="false">IFERROR(G16/C16,0)</f>
        <v>0.06</v>
      </c>
      <c r="G16" s="16" t="n">
        <f aca="false">SUMIFS(Supplier_Register!$S$6:$S$21,Supplier_Register!$D$6:$D$21,"Calcium carbonate")</f>
        <v>714</v>
      </c>
      <c r="H16" s="8" t="s">
        <v>481</v>
      </c>
      <c r="I16" s="37" t="n">
        <v>2</v>
      </c>
      <c r="J16" s="8" t="s">
        <v>482</v>
      </c>
    </row>
    <row r="17" customFormat="false" ht="15" hidden="false" customHeight="false" outlineLevel="0" collapsed="false">
      <c r="A17" s="8" t="s">
        <v>478</v>
      </c>
      <c r="B17" s="8" t="s">
        <v>485</v>
      </c>
      <c r="C17" s="16" t="n">
        <f aca="false">SUMIFS(Supplier_Register!$F$6:$F$21,Supplier_Register!$D$6:$D$21,"Process chemicals")</f>
        <v>4000</v>
      </c>
      <c r="D17" s="8" t="s">
        <v>70</v>
      </c>
      <c r="E17" s="8" t="s">
        <v>480</v>
      </c>
      <c r="F17" s="39" t="n">
        <f aca="false">IFERROR(G17/C17,0)</f>
        <v>2</v>
      </c>
      <c r="G17" s="16" t="n">
        <f aca="false">SUMIFS(Supplier_Register!$S$6:$S$21,Supplier_Register!$D$6:$D$21,"Process chemicals")</f>
        <v>8000</v>
      </c>
      <c r="H17" s="8" t="s">
        <v>481</v>
      </c>
      <c r="I17" s="37" t="n">
        <v>4</v>
      </c>
      <c r="J17" s="8" t="s">
        <v>482</v>
      </c>
    </row>
    <row r="18" customFormat="false" ht="15" hidden="false" customHeight="false" outlineLevel="0" collapsed="false">
      <c r="A18" s="8" t="s">
        <v>478</v>
      </c>
      <c r="B18" s="8" t="s">
        <v>486</v>
      </c>
      <c r="C18" s="16" t="n">
        <f aca="false">SUMIFS(Supplier_Register!$F$6:$F$21,Supplier_Register!$D$6:$D$21,"Printing ink")</f>
        <v>1575</v>
      </c>
      <c r="D18" s="8" t="s">
        <v>70</v>
      </c>
      <c r="E18" s="8" t="s">
        <v>480</v>
      </c>
      <c r="F18" s="39" t="n">
        <f aca="false">IFERROR(G18/C18,0)</f>
        <v>2.7</v>
      </c>
      <c r="G18" s="16" t="n">
        <f aca="false">SUMIFS(Supplier_Register!$S$6:$S$21,Supplier_Register!$D$6:$D$21,"Printing ink")</f>
        <v>4252.5</v>
      </c>
      <c r="H18" s="8" t="s">
        <v>481</v>
      </c>
      <c r="I18" s="37" t="n">
        <v>2</v>
      </c>
      <c r="J18" s="8" t="s">
        <v>482</v>
      </c>
    </row>
    <row r="19" customFormat="false" ht="15" hidden="false" customHeight="false" outlineLevel="0" collapsed="false">
      <c r="A19" s="8" t="s">
        <v>478</v>
      </c>
      <c r="B19" s="8" t="s">
        <v>487</v>
      </c>
      <c r="C19" s="16" t="n">
        <f aca="false">SUMIFS(Supplier_Register!$F$6:$F$21,Supplier_Register!$D$6:$D$21,"Varnish")</f>
        <v>840</v>
      </c>
      <c r="D19" s="8" t="s">
        <v>70</v>
      </c>
      <c r="E19" s="8" t="s">
        <v>480</v>
      </c>
      <c r="F19" s="39" t="n">
        <f aca="false">IFERROR(G19/C19,0)</f>
        <v>2.5</v>
      </c>
      <c r="G19" s="16" t="n">
        <f aca="false">SUMIFS(Supplier_Register!$S$6:$S$21,Supplier_Register!$D$6:$D$21,"Varnish")</f>
        <v>2100</v>
      </c>
      <c r="H19" s="8" t="s">
        <v>481</v>
      </c>
      <c r="I19" s="37" t="n">
        <v>3</v>
      </c>
      <c r="J19" s="8" t="s">
        <v>482</v>
      </c>
    </row>
    <row r="20" customFormat="false" ht="15" hidden="false" customHeight="false" outlineLevel="0" collapsed="false">
      <c r="A20" s="8" t="s">
        <v>478</v>
      </c>
      <c r="B20" s="8" t="s">
        <v>488</v>
      </c>
      <c r="C20" s="16" t="n">
        <f aca="false">SUMIFS(Supplier_Register!$F$6:$F$21,Supplier_Register!$D$6:$D$21,"Adhesive")</f>
        <v>525</v>
      </c>
      <c r="D20" s="8" t="s">
        <v>70</v>
      </c>
      <c r="E20" s="8" t="s">
        <v>480</v>
      </c>
      <c r="F20" s="39" t="n">
        <f aca="false">IFERROR(G20/C20,0)</f>
        <v>1.5</v>
      </c>
      <c r="G20" s="16" t="n">
        <f aca="false">SUMIFS(Supplier_Register!$S$6:$S$21,Supplier_Register!$D$6:$D$21,"Adhesive")</f>
        <v>787.5</v>
      </c>
      <c r="H20" s="8" t="s">
        <v>481</v>
      </c>
      <c r="I20" s="37" t="n">
        <v>3</v>
      </c>
      <c r="J20" s="8" t="s">
        <v>482</v>
      </c>
    </row>
    <row r="21" customFormat="false" ht="15" hidden="false" customHeight="false" outlineLevel="0" collapsed="false">
      <c r="A21" s="8" t="s">
        <v>478</v>
      </c>
      <c r="B21" s="8" t="s">
        <v>489</v>
      </c>
      <c r="C21" s="16" t="n">
        <f aca="false">SUMIFS(Supplier_Register!$F$6:$F$21,Supplier_Register!$D$6:$D$21,"Stretch film")</f>
        <v>855</v>
      </c>
      <c r="D21" s="8" t="s">
        <v>70</v>
      </c>
      <c r="E21" s="8" t="s">
        <v>480</v>
      </c>
      <c r="F21" s="39" t="n">
        <f aca="false">IFERROR(G21/C21,0)</f>
        <v>2.6</v>
      </c>
      <c r="G21" s="16" t="n">
        <f aca="false">SUMIFS(Supplier_Register!$S$6:$S$21,Supplier_Register!$D$6:$D$21,"Stretch film")</f>
        <v>2223</v>
      </c>
      <c r="H21" s="8" t="s">
        <v>481</v>
      </c>
      <c r="I21" s="37" t="n">
        <v>3</v>
      </c>
      <c r="J21" s="8" t="s">
        <v>482</v>
      </c>
    </row>
    <row r="22" customFormat="false" ht="15" hidden="false" customHeight="false" outlineLevel="0" collapsed="false">
      <c r="A22" s="8" t="s">
        <v>478</v>
      </c>
      <c r="B22" s="8" t="s">
        <v>490</v>
      </c>
      <c r="C22" s="16" t="n">
        <f aca="false">SUMIFS(Supplier_Register!$F$6:$F$21,Supplier_Register!$D$6:$D$21,"Natural gypsum")</f>
        <v>202500</v>
      </c>
      <c r="D22" s="8" t="s">
        <v>70</v>
      </c>
      <c r="E22" s="8" t="s">
        <v>480</v>
      </c>
      <c r="F22" s="39" t="n">
        <f aca="false">IFERROR(G22/C22,0)</f>
        <v>0.005</v>
      </c>
      <c r="G22" s="16" t="n">
        <f aca="false">SUMIFS(Supplier_Register!$S$6:$S$21,Supplier_Register!$D$6:$D$21,"Natural gypsum")</f>
        <v>1012.5</v>
      </c>
      <c r="H22" s="8" t="s">
        <v>481</v>
      </c>
      <c r="I22" s="37" t="n">
        <v>2</v>
      </c>
      <c r="J22" s="8" t="s">
        <v>482</v>
      </c>
    </row>
    <row r="23" customFormat="false" ht="15" hidden="false" customHeight="false" outlineLevel="0" collapsed="false">
      <c r="A23" s="8" t="s">
        <v>478</v>
      </c>
      <c r="B23" s="8" t="s">
        <v>491</v>
      </c>
      <c r="C23" s="16" t="n">
        <f aca="false">SUMIFS(Supplier_Register!$F$6:$F$21,Supplier_Register!$D$6:$D$21,"FGD gypsum")</f>
        <v>121500</v>
      </c>
      <c r="D23" s="8" t="s">
        <v>70</v>
      </c>
      <c r="E23" s="8" t="s">
        <v>480</v>
      </c>
      <c r="F23" s="39" t="n">
        <f aca="false">IFERROR(G23/C23,0)</f>
        <v>0.002</v>
      </c>
      <c r="G23" s="16" t="n">
        <f aca="false">SUMIFS(Supplier_Register!$S$6:$S$21,Supplier_Register!$D$6:$D$21,"FGD gypsum")</f>
        <v>243</v>
      </c>
      <c r="H23" s="8" t="s">
        <v>481</v>
      </c>
      <c r="I23" s="37" t="n">
        <v>3</v>
      </c>
      <c r="J23" s="8" t="s">
        <v>482</v>
      </c>
    </row>
    <row r="24" customFormat="false" ht="15" hidden="false" customHeight="false" outlineLevel="0" collapsed="false">
      <c r="A24" s="8" t="s">
        <v>478</v>
      </c>
      <c r="B24" s="8" t="s">
        <v>492</v>
      </c>
      <c r="C24" s="16" t="n">
        <f aca="false">SUMIFS(Supplier_Register!$F$6:$F$21,Supplier_Register!$D$6:$D$21,"Recycled gypsum")</f>
        <v>81000</v>
      </c>
      <c r="D24" s="8" t="s">
        <v>70</v>
      </c>
      <c r="E24" s="8" t="s">
        <v>480</v>
      </c>
      <c r="F24" s="39" t="n">
        <f aca="false">IFERROR(G24/C24,0)</f>
        <v>0.007</v>
      </c>
      <c r="G24" s="16" t="n">
        <f aca="false">SUMIFS(Supplier_Register!$S$6:$S$21,Supplier_Register!$D$6:$D$21,"Recycled gypsum")</f>
        <v>567</v>
      </c>
      <c r="H24" s="8" t="s">
        <v>481</v>
      </c>
      <c r="I24" s="37" t="n">
        <v>2</v>
      </c>
      <c r="J24" s="8" t="s">
        <v>482</v>
      </c>
    </row>
    <row r="25" customFormat="false" ht="15" hidden="false" customHeight="false" outlineLevel="0" collapsed="false">
      <c r="A25" s="8" t="s">
        <v>478</v>
      </c>
      <c r="B25" s="8" t="s">
        <v>493</v>
      </c>
      <c r="C25" s="16" t="n">
        <f aca="false">SUMIFS(Supplier_Register!$F$6:$F$21,Supplier_Register!$D$6:$D$21,"Glass fibre")</f>
        <v>450</v>
      </c>
      <c r="D25" s="8" t="s">
        <v>70</v>
      </c>
      <c r="E25" s="8" t="s">
        <v>480</v>
      </c>
      <c r="F25" s="39" t="n">
        <f aca="false">IFERROR(G25/C25,0)</f>
        <v>1.6</v>
      </c>
      <c r="G25" s="16" t="n">
        <f aca="false">SUMIFS(Supplier_Register!$S$6:$S$21,Supplier_Register!$D$6:$D$21,"Glass fibre")</f>
        <v>720</v>
      </c>
      <c r="H25" s="8" t="s">
        <v>481</v>
      </c>
      <c r="I25" s="37" t="n">
        <v>3</v>
      </c>
      <c r="J25" s="8" t="s">
        <v>482</v>
      </c>
    </row>
    <row r="26" customFormat="false" ht="15" hidden="false" customHeight="false" outlineLevel="0" collapsed="false">
      <c r="A26" s="8" t="s">
        <v>478</v>
      </c>
      <c r="B26" s="8" t="s">
        <v>494</v>
      </c>
      <c r="C26" s="16" t="n">
        <f aca="false">SUMIFS(Supplier_Register!$F$6:$F$21,Supplier_Register!$D$6:$D$21,"Gypsum additives")</f>
        <v>225</v>
      </c>
      <c r="D26" s="8" t="s">
        <v>70</v>
      </c>
      <c r="E26" s="8" t="s">
        <v>480</v>
      </c>
      <c r="F26" s="39" t="n">
        <f aca="false">IFERROR(G26/C26,0)</f>
        <v>2.3</v>
      </c>
      <c r="G26" s="16" t="n">
        <f aca="false">SUMIFS(Supplier_Register!$S$6:$S$21,Supplier_Register!$D$6:$D$21,"Gypsum additives")</f>
        <v>517.5</v>
      </c>
      <c r="H26" s="8" t="s">
        <v>481</v>
      </c>
      <c r="I26" s="37" t="n">
        <v>4</v>
      </c>
      <c r="J26" s="8" t="s">
        <v>482</v>
      </c>
    </row>
    <row r="27" customFormat="false" ht="15" hidden="false" customHeight="false" outlineLevel="0" collapsed="false">
      <c r="A27" s="8" t="s">
        <v>478</v>
      </c>
      <c r="B27" s="8" t="s">
        <v>495</v>
      </c>
      <c r="C27" s="16" t="n">
        <f aca="false">Company_Inputs!$B$22</f>
        <v>60000000</v>
      </c>
      <c r="D27" s="8" t="s">
        <v>125</v>
      </c>
      <c r="E27" s="8" t="s">
        <v>230</v>
      </c>
      <c r="F27" s="23" t="n">
        <f aca="false">VLOOKUP(E27,Emission_Factors!$A:$D,4,FALSE())</f>
        <v>0.25</v>
      </c>
      <c r="G27" s="19" t="n">
        <f aca="false">C27*F27/1000</f>
        <v>15000</v>
      </c>
      <c r="H27" s="8" t="s">
        <v>496</v>
      </c>
      <c r="I27" s="37" t="n">
        <v>5</v>
      </c>
      <c r="J27" s="8" t="s">
        <v>497</v>
      </c>
    </row>
    <row r="28" customFormat="false" ht="15" hidden="false" customHeight="false" outlineLevel="0" collapsed="false">
      <c r="A28" s="8" t="s">
        <v>498</v>
      </c>
      <c r="B28" s="8" t="s">
        <v>499</v>
      </c>
      <c r="C28" s="16" t="n">
        <f aca="false">Company_Inputs!$B$23</f>
        <v>35000000</v>
      </c>
      <c r="D28" s="8" t="s">
        <v>125</v>
      </c>
      <c r="E28" s="8" t="s">
        <v>234</v>
      </c>
      <c r="F28" s="23" t="n">
        <f aca="false">VLOOKUP(E28,Emission_Factors!$A:$D,4,FALSE())</f>
        <v>0.35</v>
      </c>
      <c r="G28" s="19" t="n">
        <f aca="false">C28*F28/1000</f>
        <v>12250</v>
      </c>
      <c r="H28" s="8" t="s">
        <v>496</v>
      </c>
      <c r="I28" s="37" t="n">
        <v>5</v>
      </c>
      <c r="J28" s="8"/>
    </row>
    <row r="29" customFormat="false" ht="15" hidden="false" customHeight="false" outlineLevel="0" collapsed="false">
      <c r="A29" s="8" t="s">
        <v>500</v>
      </c>
      <c r="B29" s="8" t="s">
        <v>501</v>
      </c>
      <c r="C29" s="16" t="n">
        <f aca="false">GHG_Inventory!$C$6+GHG_Inventory!$C$7+GHG_Inventory!$C$8</f>
        <v>985340909.090909</v>
      </c>
      <c r="D29" s="8" t="s">
        <v>154</v>
      </c>
      <c r="E29" s="8" t="s">
        <v>157</v>
      </c>
      <c r="F29" s="23" t="n">
        <f aca="false">VLOOKUP(E29,Emission_Factors!$A:$D,4,FALSE())</f>
        <v>0.03</v>
      </c>
      <c r="G29" s="19" t="n">
        <f aca="false">C29*F29/1000</f>
        <v>29560.2272727273</v>
      </c>
      <c r="H29" s="8" t="s">
        <v>502</v>
      </c>
      <c r="I29" s="37" t="n">
        <v>3</v>
      </c>
      <c r="J29" s="8"/>
    </row>
    <row r="30" customFormat="false" ht="15" hidden="false" customHeight="false" outlineLevel="0" collapsed="false">
      <c r="A30" s="8" t="s">
        <v>500</v>
      </c>
      <c r="B30" s="8" t="s">
        <v>503</v>
      </c>
      <c r="C30" s="16" t="n">
        <f aca="false">GHG_Inventory!$C$11</f>
        <v>232043181.818182</v>
      </c>
      <c r="D30" s="8" t="s">
        <v>154</v>
      </c>
      <c r="E30" s="8" t="s">
        <v>165</v>
      </c>
      <c r="F30" s="23" t="n">
        <f aca="false">VLOOKUP(E30,Emission_Factors!$A:$D,4,FALSE())</f>
        <v>0.045</v>
      </c>
      <c r="G30" s="19" t="n">
        <f aca="false">C30*F30/1000</f>
        <v>10441.9431818182</v>
      </c>
      <c r="H30" s="8" t="s">
        <v>502</v>
      </c>
      <c r="I30" s="37" t="n">
        <v>3</v>
      </c>
      <c r="J30" s="8"/>
    </row>
    <row r="31" customFormat="false" ht="15" hidden="false" customHeight="false" outlineLevel="0" collapsed="false">
      <c r="A31" s="8" t="s">
        <v>500</v>
      </c>
      <c r="B31" s="8" t="s">
        <v>504</v>
      </c>
      <c r="C31" s="16" t="n">
        <f aca="false">Company_Inputs!$B$20</f>
        <v>1500000</v>
      </c>
      <c r="D31" s="8" t="s">
        <v>120</v>
      </c>
      <c r="E31" s="8" t="s">
        <v>257</v>
      </c>
      <c r="F31" s="23" t="n">
        <f aca="false">VLOOKUP(E31,Emission_Factors!$A:$D,4,FALSE())</f>
        <v>0.62</v>
      </c>
      <c r="G31" s="19" t="n">
        <f aca="false">C31*F31/1000</f>
        <v>930</v>
      </c>
      <c r="H31" s="8" t="s">
        <v>502</v>
      </c>
      <c r="I31" s="37" t="n">
        <v>3</v>
      </c>
      <c r="J31" s="8"/>
    </row>
    <row r="32" customFormat="false" ht="15" hidden="false" customHeight="false" outlineLevel="0" collapsed="false">
      <c r="A32" s="8" t="s">
        <v>505</v>
      </c>
      <c r="B32" s="8" t="s">
        <v>506</v>
      </c>
      <c r="C32" s="16" t="n">
        <f aca="false">Company_Inputs!$B$17*PCF_Board!$C$6</f>
        <v>66389659.0909091</v>
      </c>
      <c r="D32" s="8" t="s">
        <v>175</v>
      </c>
      <c r="E32" s="8" t="s">
        <v>173</v>
      </c>
      <c r="F32" s="23" t="n">
        <f aca="false">VLOOKUP(E32,Emission_Factors!$A:$D,4,FALSE())</f>
        <v>0.095</v>
      </c>
      <c r="G32" s="19" t="n">
        <f aca="false">C32*F32/1000</f>
        <v>6307.01761363636</v>
      </c>
      <c r="H32" s="8" t="s">
        <v>507</v>
      </c>
      <c r="I32" s="37" t="n">
        <v>3</v>
      </c>
      <c r="J32" s="8" t="s">
        <v>508</v>
      </c>
    </row>
    <row r="33" customFormat="false" ht="15" hidden="false" customHeight="false" outlineLevel="0" collapsed="false">
      <c r="A33" s="8" t="s">
        <v>505</v>
      </c>
      <c r="B33" s="8" t="s">
        <v>509</v>
      </c>
      <c r="C33" s="16" t="n">
        <f aca="false">Company_Inputs!$B$18*PCF_GypsumBoard!$C$9</f>
        <v>32400000</v>
      </c>
      <c r="D33" s="8" t="s">
        <v>175</v>
      </c>
      <c r="E33" s="8" t="s">
        <v>173</v>
      </c>
      <c r="F33" s="23" t="n">
        <f aca="false">VLOOKUP(E33,Emission_Factors!$A:$D,4,FALSE())</f>
        <v>0.095</v>
      </c>
      <c r="G33" s="19" t="n">
        <f aca="false">C33*F33/1000</f>
        <v>3078</v>
      </c>
      <c r="H33" s="8" t="s">
        <v>507</v>
      </c>
      <c r="I33" s="37" t="n">
        <v>3</v>
      </c>
      <c r="J33" s="8"/>
    </row>
    <row r="34" customFormat="false" ht="15" hidden="false" customHeight="false" outlineLevel="0" collapsed="false">
      <c r="A34" s="8" t="s">
        <v>505</v>
      </c>
      <c r="B34" s="8" t="s">
        <v>510</v>
      </c>
      <c r="C34" s="16" t="n">
        <f aca="false">Company_Inputs!$B$11*PCF_FoldingCarton!$C$6+Company_Inputs!$B$9*PCF_GypsumBoard!$C$21</f>
        <v>35229545.4545455</v>
      </c>
      <c r="D34" s="8" t="s">
        <v>175</v>
      </c>
      <c r="E34" s="8" t="s">
        <v>173</v>
      </c>
      <c r="F34" s="23" t="n">
        <f aca="false">VLOOKUP(E34,Emission_Factors!$A:$D,4,FALSE())</f>
        <v>0.095</v>
      </c>
      <c r="G34" s="19" t="n">
        <f aca="false">C34*F34/1000</f>
        <v>3346.80681818182</v>
      </c>
      <c r="H34" s="8" t="s">
        <v>507</v>
      </c>
      <c r="I34" s="37" t="n">
        <v>3</v>
      </c>
      <c r="J34" s="8"/>
    </row>
    <row r="35" customFormat="false" ht="15" hidden="false" customHeight="false" outlineLevel="0" collapsed="false">
      <c r="A35" s="8" t="s">
        <v>505</v>
      </c>
      <c r="B35" s="8" t="s">
        <v>511</v>
      </c>
      <c r="C35" s="16" t="n">
        <f aca="false">(Company_Inputs!$B$8+Company_Inputs!$B$9*Company_Inputs!$B$10)*Company_Inputs!$B$29</f>
        <v>146250000</v>
      </c>
      <c r="D35" s="8" t="s">
        <v>175</v>
      </c>
      <c r="E35" s="8" t="s">
        <v>173</v>
      </c>
      <c r="F35" s="23" t="n">
        <f aca="false">VLOOKUP(E35,Emission_Factors!$A:$D,4,FALSE())</f>
        <v>0.095</v>
      </c>
      <c r="G35" s="19" t="n">
        <f aca="false">C35*F35/1000</f>
        <v>13893.75</v>
      </c>
      <c r="H35" s="8" t="s">
        <v>507</v>
      </c>
      <c r="I35" s="37" t="n">
        <v>4</v>
      </c>
      <c r="J35" s="8" t="s">
        <v>512</v>
      </c>
    </row>
    <row r="36" customFormat="false" ht="15" hidden="false" customHeight="false" outlineLevel="0" collapsed="false">
      <c r="A36" s="8" t="s">
        <v>513</v>
      </c>
      <c r="B36" s="8" t="s">
        <v>514</v>
      </c>
      <c r="C36" s="16" t="n">
        <f aca="false">Company_Inputs!$B$13*PCF_Board!$C$19</f>
        <v>3178545.45454545</v>
      </c>
      <c r="D36" s="8" t="s">
        <v>223</v>
      </c>
      <c r="E36" s="8" t="s">
        <v>221</v>
      </c>
      <c r="F36" s="23" t="n">
        <f aca="false">VLOOKUP(E36,Emission_Factors!$A:$D,4,FALSE())</f>
        <v>0.3</v>
      </c>
      <c r="G36" s="19" t="n">
        <f aca="false">C36*F36/1000</f>
        <v>953.563636363636</v>
      </c>
      <c r="H36" s="8" t="s">
        <v>502</v>
      </c>
      <c r="I36" s="37" t="n">
        <v>3</v>
      </c>
      <c r="J36" s="8"/>
    </row>
    <row r="37" customFormat="false" ht="15" hidden="false" customHeight="false" outlineLevel="0" collapsed="false">
      <c r="A37" s="8" t="s">
        <v>513</v>
      </c>
      <c r="B37" s="8" t="s">
        <v>515</v>
      </c>
      <c r="C37" s="16" t="n">
        <f aca="false">Company_Inputs!$B$13*PCF_Board!$C$20</f>
        <v>31785454.5454545</v>
      </c>
      <c r="D37" s="8" t="s">
        <v>184</v>
      </c>
      <c r="E37" s="8" t="s">
        <v>226</v>
      </c>
      <c r="F37" s="23" t="n">
        <f aca="false">VLOOKUP(E37,Emission_Factors!$A:$D,4,FALSE())</f>
        <v>0.6</v>
      </c>
      <c r="G37" s="19" t="n">
        <f aca="false">C37*F37/1000</f>
        <v>19071.2727272727</v>
      </c>
      <c r="H37" s="8" t="s">
        <v>502</v>
      </c>
      <c r="I37" s="37" t="n">
        <v>3</v>
      </c>
      <c r="J37" s="8"/>
    </row>
    <row r="38" customFormat="false" ht="15" hidden="false" customHeight="false" outlineLevel="0" collapsed="false">
      <c r="A38" s="8" t="s">
        <v>516</v>
      </c>
      <c r="B38" s="8" t="s">
        <v>517</v>
      </c>
      <c r="C38" s="16" t="n">
        <f aca="false">Company_Inputs!$B$24</f>
        <v>4200000</v>
      </c>
      <c r="D38" s="8" t="s">
        <v>130</v>
      </c>
      <c r="E38" s="8" t="s">
        <v>237</v>
      </c>
      <c r="F38" s="23" t="n">
        <f aca="false">VLOOKUP(E38,Emission_Factors!$A:$D,4,FALSE())</f>
        <v>0.15</v>
      </c>
      <c r="G38" s="19" t="n">
        <f aca="false">C38*F38/1000</f>
        <v>630</v>
      </c>
      <c r="H38" s="8" t="s">
        <v>507</v>
      </c>
      <c r="I38" s="37" t="n">
        <v>3</v>
      </c>
      <c r="J38" s="8"/>
    </row>
    <row r="39" customFormat="false" ht="15" hidden="false" customHeight="false" outlineLevel="0" collapsed="false">
      <c r="A39" s="8" t="s">
        <v>518</v>
      </c>
      <c r="B39" s="8" t="s">
        <v>519</v>
      </c>
      <c r="C39" s="16" t="n">
        <f aca="false">Company_Inputs!$B$25*2*Company_Inputs!$B$26*Company_Inputs!$B$27</f>
        <v>21168000</v>
      </c>
      <c r="D39" s="8" t="s">
        <v>130</v>
      </c>
      <c r="E39" s="8" t="s">
        <v>241</v>
      </c>
      <c r="F39" s="23" t="n">
        <f aca="false">VLOOKUP(E39,Emission_Factors!$A:$D,4,FALSE())</f>
        <v>0.17</v>
      </c>
      <c r="G39" s="19" t="n">
        <f aca="false">C39*F39/1000</f>
        <v>3598.56</v>
      </c>
      <c r="H39" s="8" t="s">
        <v>502</v>
      </c>
      <c r="I39" s="37" t="n">
        <v>4</v>
      </c>
      <c r="J39" s="8" t="s">
        <v>520</v>
      </c>
    </row>
    <row r="40" customFormat="false" ht="15" hidden="false" customHeight="false" outlineLevel="0" collapsed="false">
      <c r="A40" s="8" t="s">
        <v>521</v>
      </c>
      <c r="B40" s="8" t="s">
        <v>522</v>
      </c>
      <c r="C40" s="16" t="n">
        <f aca="false">Company_Inputs!$B$7*Company_Inputs!$B$28</f>
        <v>52000000</v>
      </c>
      <c r="D40" s="8" t="s">
        <v>175</v>
      </c>
      <c r="E40" s="8" t="s">
        <v>173</v>
      </c>
      <c r="F40" s="23" t="n">
        <f aca="false">VLOOKUP(E40,Emission_Factors!$A:$D,4,FALSE())</f>
        <v>0.095</v>
      </c>
      <c r="G40" s="19" t="n">
        <f aca="false">C40*F40/1000</f>
        <v>4940</v>
      </c>
      <c r="H40" s="8" t="s">
        <v>507</v>
      </c>
      <c r="I40" s="37" t="n">
        <v>4</v>
      </c>
      <c r="J40" s="8"/>
    </row>
    <row r="41" customFormat="false" ht="15" hidden="false" customHeight="false" outlineLevel="0" collapsed="false">
      <c r="A41" s="8" t="s">
        <v>523</v>
      </c>
      <c r="B41" s="8" t="s">
        <v>524</v>
      </c>
      <c r="C41" s="16" t="n">
        <f aca="false">Company_Inputs!$B$7</f>
        <v>260000</v>
      </c>
      <c r="D41" s="8" t="s">
        <v>70</v>
      </c>
      <c r="E41" s="8" t="s">
        <v>525</v>
      </c>
      <c r="F41" s="23" t="n">
        <f aca="false">(PCF_FoldingCarton!$C$18*Emission_Factors!$D$7+PCF_FoldingCarton!$C$16*Emission_Factors!$D$5)/(1000/(1-PCF_FoldingCarton!$C$5))*1000</f>
        <v>94.0104</v>
      </c>
      <c r="G41" s="19" t="n">
        <f aca="false">C41*F41/1000</f>
        <v>24442.704</v>
      </c>
      <c r="H41" s="8" t="s">
        <v>526</v>
      </c>
      <c r="I41" s="37" t="n">
        <v>4</v>
      </c>
      <c r="J41" s="8" t="s">
        <v>527</v>
      </c>
    </row>
    <row r="42" customFormat="false" ht="15" hidden="false" customHeight="false" outlineLevel="0" collapsed="false">
      <c r="A42" s="8" t="s">
        <v>528</v>
      </c>
      <c r="B42" s="8" t="s">
        <v>529</v>
      </c>
      <c r="G42" s="19" t="n">
        <v>0</v>
      </c>
      <c r="H42" s="8" t="s">
        <v>530</v>
      </c>
    </row>
    <row r="43" customFormat="false" ht="15" hidden="false" customHeight="false" outlineLevel="0" collapsed="false">
      <c r="A43" s="8" t="s">
        <v>531</v>
      </c>
      <c r="B43" s="8" t="s">
        <v>532</v>
      </c>
      <c r="G43" s="19" t="n">
        <v>0</v>
      </c>
      <c r="H43" s="8" t="s">
        <v>530</v>
      </c>
    </row>
    <row r="44" customFormat="false" ht="15" hidden="false" customHeight="false" outlineLevel="0" collapsed="false">
      <c r="A44" s="8" t="s">
        <v>533</v>
      </c>
      <c r="B44" s="8" t="s">
        <v>534</v>
      </c>
      <c r="C44" s="16" t="n">
        <f aca="false">(Company_Inputs!$B$8+Company_Inputs!$B$7)*1000</f>
        <v>365000000</v>
      </c>
      <c r="D44" s="8" t="s">
        <v>184</v>
      </c>
      <c r="E44" s="8" t="s">
        <v>245</v>
      </c>
      <c r="F44" s="23" t="n">
        <f aca="false">VLOOKUP(E44,Emission_Factors!$A:$D,4,FALSE())</f>
        <v>0.03</v>
      </c>
      <c r="G44" s="19" t="n">
        <f aca="false">C44*F44/1000</f>
        <v>10950</v>
      </c>
      <c r="H44" s="8" t="s">
        <v>502</v>
      </c>
      <c r="I44" s="37" t="n">
        <v>4</v>
      </c>
      <c r="J44" s="8" t="s">
        <v>249</v>
      </c>
    </row>
    <row r="45" customFormat="false" ht="15" hidden="false" customHeight="false" outlineLevel="0" collapsed="false">
      <c r="A45" s="8" t="s">
        <v>533</v>
      </c>
      <c r="B45" s="8" t="s">
        <v>535</v>
      </c>
      <c r="C45" s="16" t="n">
        <f aca="false">Company_Inputs!$B$9*Company_Inputs!$B$10*1000</f>
        <v>382500000</v>
      </c>
      <c r="D45" s="8" t="s">
        <v>184</v>
      </c>
      <c r="E45" s="8" t="s">
        <v>250</v>
      </c>
      <c r="F45" s="23" t="n">
        <f aca="false">VLOOKUP(E45,Emission_Factors!$A:$D,4,FALSE())</f>
        <v>0.01</v>
      </c>
      <c r="G45" s="19" t="n">
        <f aca="false">C45*F45/1000</f>
        <v>3825</v>
      </c>
      <c r="H45" s="8" t="s">
        <v>502</v>
      </c>
      <c r="I45" s="37" t="n">
        <v>4</v>
      </c>
      <c r="J45" s="8"/>
    </row>
    <row r="46" customFormat="false" ht="15" hidden="false" customHeight="false" outlineLevel="0" collapsed="false">
      <c r="A46" s="8" t="s">
        <v>536</v>
      </c>
      <c r="B46" s="8" t="s">
        <v>537</v>
      </c>
      <c r="G46" s="19" t="n">
        <v>0</v>
      </c>
      <c r="H46" s="8" t="s">
        <v>530</v>
      </c>
    </row>
    <row r="47" customFormat="false" ht="15" hidden="false" customHeight="false" outlineLevel="0" collapsed="false">
      <c r="A47" s="8" t="s">
        <v>538</v>
      </c>
      <c r="B47" s="8" t="s">
        <v>539</v>
      </c>
      <c r="G47" s="19" t="n">
        <v>0</v>
      </c>
      <c r="H47" s="8" t="s">
        <v>530</v>
      </c>
    </row>
    <row r="48" customFormat="false" ht="15" hidden="false" customHeight="false" outlineLevel="0" collapsed="false">
      <c r="A48" s="8" t="s">
        <v>540</v>
      </c>
      <c r="B48" s="8" t="s">
        <v>541</v>
      </c>
      <c r="G48" s="19" t="n">
        <v>0</v>
      </c>
      <c r="H48" s="8" t="s">
        <v>530</v>
      </c>
    </row>
    <row r="50" customFormat="false" ht="15" hidden="false" customHeight="false" outlineLevel="0" collapsed="false">
      <c r="A50" s="6" t="s">
        <v>542</v>
      </c>
      <c r="B50" s="7"/>
      <c r="C50" s="7"/>
      <c r="D50" s="7"/>
      <c r="E50" s="7"/>
      <c r="F50" s="7"/>
      <c r="G50" s="7"/>
      <c r="H50" s="7"/>
      <c r="I50" s="7"/>
      <c r="J50" s="7"/>
    </row>
    <row r="51" customFormat="false" ht="15" hidden="false" customHeight="false" outlineLevel="0" collapsed="false">
      <c r="B51" s="25" t="s">
        <v>34</v>
      </c>
      <c r="G51" s="40" t="n">
        <f aca="false">SUMIF($A$5:$A$48,"S1",$G$5:$G$48)</f>
        <v>202028.522727273</v>
      </c>
    </row>
    <row r="52" customFormat="false" ht="15" hidden="false" customHeight="false" outlineLevel="0" collapsed="false">
      <c r="B52" s="25" t="s">
        <v>543</v>
      </c>
      <c r="G52" s="40" t="n">
        <f aca="false">SUMIF($A$5:$A$48,"S2-LB",$G$5:$G$48)</f>
        <v>84231.675</v>
      </c>
    </row>
    <row r="53" customFormat="false" ht="15" hidden="false" customHeight="false" outlineLevel="0" collapsed="false">
      <c r="B53" s="25" t="s">
        <v>544</v>
      </c>
      <c r="G53" s="40" t="n">
        <f aca="false">SUMIF($A$5:$A$48,"S2-MB",$G$5:$G$48)</f>
        <v>107900.079545455</v>
      </c>
    </row>
    <row r="54" customFormat="false" ht="15" hidden="false" customHeight="false" outlineLevel="0" collapsed="false">
      <c r="B54" s="25" t="s">
        <v>37</v>
      </c>
      <c r="G54" s="40" t="n">
        <f aca="false">SUMIF($A$5:$A$48,"S3-*",$G$5:$G$48)</f>
        <v>201169.84525</v>
      </c>
    </row>
    <row r="55" customFormat="false" ht="15" hidden="false" customHeight="false" outlineLevel="0" collapsed="false">
      <c r="B55" s="25" t="s">
        <v>545</v>
      </c>
      <c r="G55" s="40" t="n">
        <f aca="false">$G$51+$G$53+$G$54</f>
        <v>511098.447522727</v>
      </c>
    </row>
    <row r="56" customFormat="false" ht="15" hidden="false" customHeight="false" outlineLevel="0" collapsed="false">
      <c r="B56" s="8" t="s">
        <v>38</v>
      </c>
      <c r="G56" s="24" t="n">
        <f aca="false">G54/G55</f>
        <v>0.393602927625904</v>
      </c>
    </row>
    <row r="58" customFormat="false" ht="15" hidden="false" customHeight="false" outlineLevel="0" collapsed="false">
      <c r="A58" s="15" t="s">
        <v>546</v>
      </c>
    </row>
    <row r="59" customFormat="false" ht="30" hidden="false" customHeight="true" outlineLevel="0" collapsed="false">
      <c r="A59" s="5" t="s">
        <v>454</v>
      </c>
      <c r="B59" s="5" t="s">
        <v>547</v>
      </c>
      <c r="C59" s="5" t="s">
        <v>30</v>
      </c>
      <c r="D59" s="5" t="s">
        <v>548</v>
      </c>
    </row>
    <row r="60" customFormat="false" ht="15" hidden="false" customHeight="false" outlineLevel="0" collapsed="false">
      <c r="A60" s="8" t="s">
        <v>478</v>
      </c>
      <c r="B60" s="8" t="s">
        <v>549</v>
      </c>
      <c r="C60" s="19" t="n">
        <f aca="false">SUMIF($A$5:$A$48,A60,$G$5:$G$48)</f>
        <v>52951</v>
      </c>
      <c r="D60" s="24" t="n">
        <f aca="false">IFERROR(C60/$G$54,0)</f>
        <v>0.263215393610291</v>
      </c>
    </row>
    <row r="61" customFormat="false" ht="15" hidden="false" customHeight="false" outlineLevel="0" collapsed="false">
      <c r="A61" s="8" t="s">
        <v>498</v>
      </c>
      <c r="B61" s="8" t="s">
        <v>499</v>
      </c>
      <c r="C61" s="19" t="n">
        <f aca="false">SUMIF($A$5:$A$48,A61,$G$5:$G$48)</f>
        <v>12250</v>
      </c>
      <c r="D61" s="24" t="n">
        <f aca="false">IFERROR(C61/$G$54,0)</f>
        <v>0.0608938182796559</v>
      </c>
    </row>
    <row r="62" customFormat="false" ht="15" hidden="false" customHeight="false" outlineLevel="0" collapsed="false">
      <c r="A62" s="8" t="s">
        <v>500</v>
      </c>
      <c r="B62" s="8" t="s">
        <v>550</v>
      </c>
      <c r="C62" s="19" t="n">
        <f aca="false">SUMIF($A$5:$A$48,A62,$G$5:$G$48)</f>
        <v>40932.1704545455</v>
      </c>
      <c r="D62" s="24" t="n">
        <f aca="false">IFERROR(C62/$G$54,0)</f>
        <v>0.203470706077632</v>
      </c>
    </row>
    <row r="63" customFormat="false" ht="15" hidden="false" customHeight="false" outlineLevel="0" collapsed="false">
      <c r="A63" s="8" t="s">
        <v>505</v>
      </c>
      <c r="B63" s="8" t="s">
        <v>551</v>
      </c>
      <c r="C63" s="19" t="n">
        <f aca="false">SUMIF($A$5:$A$48,A63,$G$5:$G$48)</f>
        <v>26625.5744318182</v>
      </c>
      <c r="D63" s="24" t="n">
        <f aca="false">IFERROR(C63/$G$54,0)</f>
        <v>0.132353705391232</v>
      </c>
    </row>
    <row r="64" customFormat="false" ht="15" hidden="false" customHeight="false" outlineLevel="0" collapsed="false">
      <c r="A64" s="8" t="s">
        <v>513</v>
      </c>
      <c r="B64" s="8" t="s">
        <v>552</v>
      </c>
      <c r="C64" s="19" t="n">
        <f aca="false">SUMIF($A$5:$A$48,A64,$G$5:$G$48)</f>
        <v>20024.8363636364</v>
      </c>
      <c r="D64" s="24" t="n">
        <f aca="false">IFERROR(C64/$G$54,0)</f>
        <v>0.0995419384985403</v>
      </c>
    </row>
    <row r="65" customFormat="false" ht="15" hidden="false" customHeight="false" outlineLevel="0" collapsed="false">
      <c r="A65" s="8" t="s">
        <v>516</v>
      </c>
      <c r="B65" s="8" t="s">
        <v>517</v>
      </c>
      <c r="C65" s="19" t="n">
        <f aca="false">SUMIF($A$5:$A$48,A65,$G$5:$G$48)</f>
        <v>630</v>
      </c>
      <c r="D65" s="24" t="n">
        <f aca="false">IFERROR(C65/$G$54,0)</f>
        <v>0.00313168208295373</v>
      </c>
    </row>
    <row r="66" customFormat="false" ht="15" hidden="false" customHeight="false" outlineLevel="0" collapsed="false">
      <c r="A66" s="8" t="s">
        <v>518</v>
      </c>
      <c r="B66" s="8" t="s">
        <v>519</v>
      </c>
      <c r="C66" s="19" t="n">
        <f aca="false">SUMIF($A$5:$A$48,A66,$G$5:$G$48)</f>
        <v>3598.56</v>
      </c>
      <c r="D66" s="24" t="n">
        <f aca="false">IFERROR(C66/$G$54,0)</f>
        <v>0.0178881680578317</v>
      </c>
    </row>
    <row r="67" customFormat="false" ht="15" hidden="false" customHeight="false" outlineLevel="0" collapsed="false">
      <c r="A67" s="8" t="s">
        <v>528</v>
      </c>
      <c r="B67" s="8" t="s">
        <v>553</v>
      </c>
      <c r="C67" s="19" t="n">
        <f aca="false">SUMIF($A$5:$A$48,A67,$G$5:$G$48)</f>
        <v>0</v>
      </c>
      <c r="D67" s="24" t="n">
        <f aca="false">IFERROR(C67/$G$54,0)</f>
        <v>0</v>
      </c>
    </row>
    <row r="68" customFormat="false" ht="15" hidden="false" customHeight="false" outlineLevel="0" collapsed="false">
      <c r="A68" s="8" t="s">
        <v>521</v>
      </c>
      <c r="B68" s="8" t="s">
        <v>554</v>
      </c>
      <c r="C68" s="19" t="n">
        <f aca="false">SUMIF($A$5:$A$48,A68,$G$5:$G$48)</f>
        <v>4940</v>
      </c>
      <c r="D68" s="24" t="n">
        <f aca="false">IFERROR(C68/$G$54,0)</f>
        <v>0.0245563642695102</v>
      </c>
    </row>
    <row r="69" customFormat="false" ht="15" hidden="false" customHeight="false" outlineLevel="0" collapsed="false">
      <c r="A69" s="8" t="s">
        <v>523</v>
      </c>
      <c r="B69" s="8" t="s">
        <v>555</v>
      </c>
      <c r="C69" s="19" t="n">
        <f aca="false">SUMIF($A$5:$A$48,A69,$G$5:$G$48)</f>
        <v>24442.704</v>
      </c>
      <c r="D69" s="24" t="n">
        <f aca="false">IFERROR(C69/$G$54,0)</f>
        <v>0.121502822501177</v>
      </c>
    </row>
    <row r="70" customFormat="false" ht="15" hidden="false" customHeight="false" outlineLevel="0" collapsed="false">
      <c r="A70" s="8" t="s">
        <v>531</v>
      </c>
      <c r="B70" s="8" t="s">
        <v>556</v>
      </c>
      <c r="C70" s="19" t="n">
        <f aca="false">SUMIF($A$5:$A$48,A70,$G$5:$G$48)</f>
        <v>0</v>
      </c>
      <c r="D70" s="24" t="n">
        <f aca="false">IFERROR(C70/$G$54,0)</f>
        <v>0</v>
      </c>
    </row>
    <row r="71" customFormat="false" ht="15" hidden="false" customHeight="false" outlineLevel="0" collapsed="false">
      <c r="A71" s="8" t="s">
        <v>533</v>
      </c>
      <c r="B71" s="8" t="s">
        <v>557</v>
      </c>
      <c r="C71" s="19" t="n">
        <f aca="false">SUMIF($A$5:$A$48,A71,$G$5:$G$48)</f>
        <v>14775</v>
      </c>
      <c r="D71" s="24" t="n">
        <f aca="false">IFERROR(C71/$G$54,0)</f>
        <v>0.0734454012311768</v>
      </c>
    </row>
    <row r="72" customFormat="false" ht="15" hidden="false" customHeight="false" outlineLevel="0" collapsed="false">
      <c r="A72" s="8" t="s">
        <v>536</v>
      </c>
      <c r="B72" s="8" t="s">
        <v>558</v>
      </c>
      <c r="C72" s="19" t="n">
        <f aca="false">SUMIF($A$5:$A$48,A72,$G$5:$G$48)</f>
        <v>0</v>
      </c>
      <c r="D72" s="24" t="n">
        <f aca="false">IFERROR(C72/$G$54,0)</f>
        <v>0</v>
      </c>
    </row>
    <row r="73" customFormat="false" ht="15" hidden="false" customHeight="false" outlineLevel="0" collapsed="false">
      <c r="A73" s="8" t="s">
        <v>538</v>
      </c>
      <c r="B73" s="8" t="s">
        <v>559</v>
      </c>
      <c r="C73" s="19" t="n">
        <f aca="false">SUMIF($A$5:$A$48,A73,$G$5:$G$48)</f>
        <v>0</v>
      </c>
      <c r="D73" s="24" t="n">
        <f aca="false">IFERROR(C73/$G$54,0)</f>
        <v>0</v>
      </c>
    </row>
    <row r="74" customFormat="false" ht="15" hidden="false" customHeight="false" outlineLevel="0" collapsed="false">
      <c r="A74" s="8" t="s">
        <v>540</v>
      </c>
      <c r="B74" s="8" t="s">
        <v>560</v>
      </c>
      <c r="C74" s="19" t="n">
        <f aca="false">SUMIF($A$5:$A$48,A74,$G$5:$G$48)</f>
        <v>0</v>
      </c>
      <c r="D74" s="24" t="n">
        <f aca="false">IFERROR(C74/$G$54,0)</f>
        <v>0</v>
      </c>
    </row>
    <row r="76" customFormat="false" ht="15" hidden="false" customHeight="false" outlineLevel="0" collapsed="false">
      <c r="A76" s="29" t="s">
        <v>561</v>
      </c>
      <c r="B76" s="8" t="s">
        <v>562</v>
      </c>
      <c r="G76" s="24" t="n">
        <f aca="false">IFERROR(SUMIFS(Supplier_Register!$F$6:$F$21,Supplier_Register!$D$6:$D$21,"Recovered paper")/Company_Inputs!$B$17-1,0)</f>
        <v>-0.00135049783560892</v>
      </c>
      <c r="H76" s="8" t="str">
        <f aca="false">IF(ABS(G76)&lt;=2%,"OK (≤ 2%)","CHECK volumes")</f>
        <v>OK (≤ 2%)</v>
      </c>
    </row>
    <row r="77" customFormat="false" ht="15" hidden="false" customHeight="false" outlineLevel="0" collapsed="false">
      <c r="A77" s="29" t="s">
        <v>561</v>
      </c>
      <c r="B77" s="8" t="s">
        <v>563</v>
      </c>
      <c r="G77" s="24" t="n">
        <f aca="false">IFERROR((SUMIFS(Supplier_Register!$F$6:$F$21,Supplier_Register!$D$6:$D$21,"Natural gypsum")+SUMIFS(Supplier_Register!$F$6:$F$21,Supplier_Register!$D$6:$D$21,"FGD gypsum")+SUMIFS(Supplier_Register!$F$6:$F$21,Supplier_Register!$D$6:$D$21,"Recycled gypsum"))/Company_Inputs!$B$18-1,0)</f>
        <v>0</v>
      </c>
      <c r="H77" s="8" t="str">
        <f aca="false">IF(ABS(G77)&lt;=2%,"OK (≤ 2%)","CHECK volumes")</f>
        <v>OK (≤ 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S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10"/>
    <col collapsed="false" customWidth="true" hidden="false" outlineLevel="0" max="9" min="5" style="0" width="9"/>
    <col collapsed="false" customWidth="true" hidden="false" outlineLevel="0" max="10" min="10" style="0" width="6"/>
    <col collapsed="false" customWidth="true" hidden="false" outlineLevel="0" max="12" min="11" style="0" width="7"/>
    <col collapsed="false" customWidth="true" hidden="false" outlineLevel="0" max="14" min="13" style="0" width="9"/>
    <col collapsed="false" customWidth="true" hidden="false" outlineLevel="0" max="15" min="15" style="0" width="20"/>
    <col collapsed="false" customWidth="true" hidden="false" outlineLevel="0" max="17" min="16" style="0" width="11"/>
    <col collapsed="false" customWidth="true" hidden="false" outlineLevel="0" max="18" min="18" style="0" width="9"/>
    <col collapsed="false" customWidth="true" hidden="false" outlineLevel="0" max="19" min="19" style="0" width="36"/>
  </cols>
  <sheetData>
    <row r="1" customFormat="false" ht="17.35" hidden="false" customHeight="false" outlineLevel="0" collapsed="false">
      <c r="A1" s="1" t="s">
        <v>564</v>
      </c>
    </row>
    <row r="2" customFormat="false" ht="15" hidden="false" customHeight="false" outlineLevel="0" collapsed="false">
      <c r="A2" s="2" t="s">
        <v>565</v>
      </c>
    </row>
    <row r="3" customFormat="false" ht="35.05" hidden="false" customHeight="false" outlineLevel="0" collapsed="false">
      <c r="A3" s="29" t="s">
        <v>566</v>
      </c>
      <c r="E3" s="4" t="s">
        <v>567</v>
      </c>
      <c r="F3" s="4" t="s">
        <v>568</v>
      </c>
      <c r="G3" s="4" t="s">
        <v>569</v>
      </c>
      <c r="H3" s="4" t="s">
        <v>570</v>
      </c>
      <c r="I3" s="4" t="s">
        <v>571</v>
      </c>
    </row>
    <row r="4" customFormat="false" ht="15" hidden="false" customHeight="false" outlineLevel="0" collapsed="false">
      <c r="E4" s="14" t="n">
        <v>0.3</v>
      </c>
      <c r="F4" s="14" t="n">
        <v>0.2</v>
      </c>
      <c r="G4" s="14" t="n">
        <v>0.15</v>
      </c>
      <c r="H4" s="14" t="n">
        <v>0.1</v>
      </c>
      <c r="I4" s="14" t="n">
        <v>0.25</v>
      </c>
      <c r="J4" s="42" t="n">
        <f aca="false">SUM(E4:I4)</f>
        <v>1</v>
      </c>
      <c r="K4" s="8" t="str">
        <f aca="false">IF(ROUND(J4,4)=1,"OK","≠100%")</f>
        <v>OK</v>
      </c>
    </row>
    <row r="6" customFormat="false" ht="30" hidden="false" customHeight="true" outlineLevel="0" collapsed="false">
      <c r="A6" s="5" t="s">
        <v>378</v>
      </c>
      <c r="B6" s="5" t="s">
        <v>572</v>
      </c>
      <c r="C6" s="5" t="s">
        <v>381</v>
      </c>
      <c r="D6" s="5" t="s">
        <v>573</v>
      </c>
      <c r="E6" s="5" t="s">
        <v>574</v>
      </c>
      <c r="F6" s="5" t="s">
        <v>568</v>
      </c>
      <c r="G6" s="5" t="s">
        <v>569</v>
      </c>
      <c r="H6" s="5" t="s">
        <v>575</v>
      </c>
      <c r="I6" s="5" t="s">
        <v>571</v>
      </c>
      <c r="J6" s="5" t="s">
        <v>576</v>
      </c>
      <c r="K6" s="5" t="s">
        <v>577</v>
      </c>
      <c r="L6" s="5" t="s">
        <v>578</v>
      </c>
      <c r="M6" s="5" t="s">
        <v>579</v>
      </c>
      <c r="N6" s="5" t="s">
        <v>580</v>
      </c>
      <c r="O6" s="5" t="s">
        <v>581</v>
      </c>
      <c r="P6" s="5" t="s">
        <v>384</v>
      </c>
      <c r="Q6" s="5" t="s">
        <v>396</v>
      </c>
      <c r="R6" s="5" t="s">
        <v>582</v>
      </c>
      <c r="S6" s="5" t="s">
        <v>583</v>
      </c>
    </row>
    <row r="7" customFormat="false" ht="15" hidden="false" customHeight="false" outlineLevel="0" collapsed="false">
      <c r="A7" s="43" t="str">
        <f aca="false">Supplier_Register!A6</f>
        <v>S01</v>
      </c>
      <c r="B7" s="43" t="str">
        <f aca="false">Supplier_Register!B6</f>
        <v>Recycling Partner North</v>
      </c>
      <c r="C7" s="43" t="str">
        <f aca="false">Supplier_Register!D6</f>
        <v>Recovered paper</v>
      </c>
      <c r="D7" s="37" t="n">
        <v>68</v>
      </c>
      <c r="E7" s="37" t="n">
        <v>72</v>
      </c>
      <c r="F7" s="37" t="n">
        <v>65</v>
      </c>
      <c r="G7" s="37" t="n">
        <v>70</v>
      </c>
      <c r="H7" s="37" t="n">
        <v>55</v>
      </c>
      <c r="I7" s="44" t="n">
        <f aca="false">40*(J7="Y")+30*(M7="Y")+15*(K7="Y")+15*(L7="Y")</f>
        <v>100</v>
      </c>
      <c r="J7" s="36" t="s">
        <v>584</v>
      </c>
      <c r="K7" s="36" t="s">
        <v>584</v>
      </c>
      <c r="L7" s="36" t="s">
        <v>584</v>
      </c>
      <c r="M7" s="43" t="str">
        <f aca="false">IF(Supplier_Register!R6="Supplier-specific","Y","N")</f>
        <v>Y</v>
      </c>
      <c r="N7" s="38" t="n">
        <f aca="false">SUMPRODUCT(E7:I7,$E$4:$I$4)</f>
        <v>75.6</v>
      </c>
      <c r="O7" s="8" t="str">
        <f aca="false">IF(N7&gt;=70,"A – Strategic partner",IF(N7&gt;=55,"B – Develop",IF(N7&gt;=40,"C – Improvement plan","D – Escalate")))</f>
        <v>A – Strategic partner</v>
      </c>
      <c r="P7" s="16" t="n">
        <f aca="false">Supplier_Register!G6</f>
        <v>19200</v>
      </c>
      <c r="Q7" s="16" t="n">
        <f aca="false">Supplier_Register!S6</f>
        <v>1920</v>
      </c>
      <c r="R7" s="38" t="n">
        <f aca="false">Q7/SUM($Q$7:$Q$22)*(100-N7)</f>
        <v>1.2344338752602</v>
      </c>
      <c r="S7" s="8" t="str">
        <f aca="false">IF(LEFT(O7,1)="A","Joint decarb. roadmap, PCF exchange",IF(LEFT(O7,1)="B","Request EcoVadis + SBTi commitment",IF(LEFT(O7,1)="C","Corrective action plan within 6 months","Escalate to category mgmt; audit")))</f>
        <v>Joint decarb. roadmap, PCF exchange</v>
      </c>
    </row>
    <row r="8" customFormat="false" ht="15" hidden="false" customHeight="false" outlineLevel="0" collapsed="false">
      <c r="A8" s="43" t="str">
        <f aca="false">Supplier_Register!A7</f>
        <v>S02</v>
      </c>
      <c r="B8" s="43" t="str">
        <f aca="false">Supplier_Register!B7</f>
        <v>Recycling Partner South</v>
      </c>
      <c r="C8" s="43" t="str">
        <f aca="false">Supplier_Register!D7</f>
        <v>Recovered paper</v>
      </c>
      <c r="D8" s="37"/>
      <c r="E8" s="37" t="n">
        <v>50</v>
      </c>
      <c r="F8" s="37" t="n">
        <v>55</v>
      </c>
      <c r="G8" s="37" t="n">
        <v>60</v>
      </c>
      <c r="H8" s="37" t="n">
        <v>35</v>
      </c>
      <c r="I8" s="44" t="n">
        <f aca="false">40*(J8="Y")+30*(M8="Y")+15*(K8="Y")+15*(L8="Y")</f>
        <v>15</v>
      </c>
      <c r="J8" s="36" t="s">
        <v>585</v>
      </c>
      <c r="K8" s="36" t="s">
        <v>584</v>
      </c>
      <c r="L8" s="36" t="s">
        <v>585</v>
      </c>
      <c r="M8" s="43" t="str">
        <f aca="false">IF(Supplier_Register!R7="Supplier-specific","Y","N")</f>
        <v>N</v>
      </c>
      <c r="N8" s="38" t="n">
        <f aca="false">SUMPRODUCT(E8:I8,$E$4:$I$4)</f>
        <v>42.25</v>
      </c>
      <c r="O8" s="8" t="str">
        <f aca="false">IF(N8&gt;=70,"A – Strategic partner",IF(N8&gt;=55,"B – Develop",IF(N8&gt;=40,"C – Improvement plan","D – Escalate")))</f>
        <v>C – Improvement plan</v>
      </c>
      <c r="P8" s="16" t="n">
        <f aca="false">Supplier_Register!G7</f>
        <v>16200</v>
      </c>
      <c r="Q8" s="16" t="n">
        <f aca="false">Supplier_Register!S7</f>
        <v>2025</v>
      </c>
      <c r="R8" s="38" t="n">
        <f aca="false">Q8/SUM($Q$7:$Q$22)*(100-N8)</f>
        <v>3.08144054175121</v>
      </c>
      <c r="S8" s="8" t="str">
        <f aca="false">IF(LEFT(O8,1)="A","Joint decarb. roadmap, PCF exchange",IF(LEFT(O8,1)="B","Request EcoVadis + SBTi commitment",IF(LEFT(O8,1)="C","Corrective action plan within 6 months","Escalate to category mgmt; audit")))</f>
        <v>Corrective action plan within 6 months</v>
      </c>
    </row>
    <row r="9" customFormat="false" ht="15" hidden="false" customHeight="false" outlineLevel="0" collapsed="false">
      <c r="A9" s="43" t="str">
        <f aca="false">Supplier_Register!A8</f>
        <v>S03</v>
      </c>
      <c r="B9" s="43" t="str">
        <f aca="false">Supplier_Register!B8</f>
        <v>Municipal Paper Collection Pool</v>
      </c>
      <c r="C9" s="43" t="str">
        <f aca="false">Supplier_Register!D8</f>
        <v>Recovered paper</v>
      </c>
      <c r="D9" s="37"/>
      <c r="E9" s="37" t="n">
        <v>40</v>
      </c>
      <c r="F9" s="37" t="n">
        <v>50</v>
      </c>
      <c r="G9" s="37" t="n">
        <v>55</v>
      </c>
      <c r="H9" s="37" t="n">
        <v>30</v>
      </c>
      <c r="I9" s="44" t="n">
        <f aca="false">40*(J9="Y")+30*(M9="Y")+15*(K9="Y")+15*(L9="Y")</f>
        <v>0</v>
      </c>
      <c r="J9" s="36" t="s">
        <v>585</v>
      </c>
      <c r="K9" s="36" t="s">
        <v>585</v>
      </c>
      <c r="L9" s="36" t="s">
        <v>585</v>
      </c>
      <c r="M9" s="43" t="str">
        <f aca="false">IF(Supplier_Register!R8="Supplier-specific","Y","N")</f>
        <v>N</v>
      </c>
      <c r="N9" s="38" t="n">
        <f aca="false">SUMPRODUCT(E9:I9,$E$4:$I$4)</f>
        <v>33.25</v>
      </c>
      <c r="O9" s="8" t="str">
        <f aca="false">IF(N9&gt;=70,"A – Strategic partner",IF(N9&gt;=55,"B – Develop",IF(N9&gt;=40,"C – Improvement plan","D – Escalate")))</f>
        <v>D – Escalate</v>
      </c>
      <c r="P9" s="16" t="n">
        <f aca="false">Supplier_Register!G8</f>
        <v>10100</v>
      </c>
      <c r="Q9" s="16" t="n">
        <f aca="false">Supplier_Register!S8</f>
        <v>1380</v>
      </c>
      <c r="R9" s="38" t="n">
        <f aca="false">Q9/SUM($Q$7:$Q$22)*(100-N9)</f>
        <v>2.42720876920239</v>
      </c>
      <c r="S9" s="8" t="str">
        <f aca="false">IF(LEFT(O9,1)="A","Joint decarb. roadmap, PCF exchange",IF(LEFT(O9,1)="B","Request EcoVadis + SBTi commitment",IF(LEFT(O9,1)="C","Corrective action plan within 6 months","Escalate to category mgmt; audit")))</f>
        <v>Escalate to category mgmt; audit</v>
      </c>
    </row>
    <row r="10" customFormat="false" ht="15" hidden="false" customHeight="false" outlineLevel="0" collapsed="false">
      <c r="A10" s="43" t="str">
        <f aca="false">Supplier_Register!A9</f>
        <v>S04</v>
      </c>
      <c r="B10" s="43" t="str">
        <f aca="false">Supplier_Register!B9</f>
        <v>RCP Trader Benelux</v>
      </c>
      <c r="C10" s="43" t="str">
        <f aca="false">Supplier_Register!D9</f>
        <v>Recovered paper</v>
      </c>
      <c r="D10" s="37" t="n">
        <v>45</v>
      </c>
      <c r="E10" s="37" t="n">
        <v>45</v>
      </c>
      <c r="F10" s="37" t="n">
        <v>50</v>
      </c>
      <c r="G10" s="37" t="n">
        <v>45</v>
      </c>
      <c r="H10" s="37" t="n">
        <v>30</v>
      </c>
      <c r="I10" s="44" t="n">
        <f aca="false">40*(J10="Y")+30*(M10="Y")+15*(K10="Y")+15*(L10="Y")</f>
        <v>15</v>
      </c>
      <c r="J10" s="36" t="s">
        <v>585</v>
      </c>
      <c r="K10" s="36" t="s">
        <v>584</v>
      </c>
      <c r="L10" s="36" t="s">
        <v>585</v>
      </c>
      <c r="M10" s="43" t="str">
        <f aca="false">IF(Supplier_Register!R9="Supplier-specific","Y","N")</f>
        <v>N</v>
      </c>
      <c r="N10" s="38" t="n">
        <f aca="false">SUMPRODUCT(E10:I10,$E$4:$I$4)</f>
        <v>37</v>
      </c>
      <c r="O10" s="8" t="str">
        <f aca="false">IF(N10&gt;=70,"A – Strategic partner",IF(N10&gt;=55,"B – Develop",IF(N10&gt;=40,"C – Improvement plan","D – Escalate")))</f>
        <v>D – Escalate</v>
      </c>
      <c r="P10" s="16" t="n">
        <f aca="false">Supplier_Register!G9</f>
        <v>6900</v>
      </c>
      <c r="Q10" s="16" t="n">
        <f aca="false">Supplier_Register!S9</f>
        <v>825</v>
      </c>
      <c r="R10" s="38" t="n">
        <f aca="false">Q10/SUM($Q$7:$Q$22)*(100-N10)</f>
        <v>1.3695291296672</v>
      </c>
      <c r="S10" s="8" t="str">
        <f aca="false">IF(LEFT(O10,1)="A","Joint decarb. roadmap, PCF exchange",IF(LEFT(O10,1)="B","Request EcoVadis + SBTi commitment",IF(LEFT(O10,1)="C","Corrective action plan within 6 months","Escalate to category mgmt; audit")))</f>
        <v>Escalate to category mgmt; audit</v>
      </c>
    </row>
    <row r="11" customFormat="false" ht="15" hidden="false" customHeight="false" outlineLevel="0" collapsed="false">
      <c r="A11" s="43" t="str">
        <f aca="false">Supplier_Register!A10</f>
        <v>S05</v>
      </c>
      <c r="B11" s="43" t="str">
        <f aca="false">Supplier_Register!B10</f>
        <v>Starch Mill Central</v>
      </c>
      <c r="C11" s="43" t="str">
        <f aca="false">Supplier_Register!D10</f>
        <v>Native starch</v>
      </c>
      <c r="D11" s="37" t="n">
        <v>74</v>
      </c>
      <c r="E11" s="37" t="n">
        <v>78</v>
      </c>
      <c r="F11" s="37" t="n">
        <v>70</v>
      </c>
      <c r="G11" s="37" t="n">
        <v>72</v>
      </c>
      <c r="H11" s="37" t="n">
        <v>65</v>
      </c>
      <c r="I11" s="44" t="n">
        <f aca="false">40*(J11="Y")+30*(M11="Y")+15*(K11="Y")+15*(L11="Y")</f>
        <v>100</v>
      </c>
      <c r="J11" s="36" t="s">
        <v>584</v>
      </c>
      <c r="K11" s="36" t="s">
        <v>584</v>
      </c>
      <c r="L11" s="36" t="s">
        <v>584</v>
      </c>
      <c r="M11" s="43" t="str">
        <f aca="false">IF(Supplier_Register!R10="Supplier-specific","Y","N")</f>
        <v>Y</v>
      </c>
      <c r="N11" s="38" t="n">
        <f aca="false">SUMPRODUCT(E11:I11,$E$4:$I$4)</f>
        <v>79.7</v>
      </c>
      <c r="O11" s="8" t="str">
        <f aca="false">IF(N11&gt;=70,"A – Strategic partner",IF(N11&gt;=55,"B – Develop",IF(N11&gt;=40,"C – Improvement plan","D – Escalate")))</f>
        <v>A – Strategic partner</v>
      </c>
      <c r="P11" s="16" t="n">
        <f aca="false">Supplier_Register!G10</f>
        <v>8600</v>
      </c>
      <c r="Q11" s="16" t="n">
        <f aca="false">Supplier_Register!S10</f>
        <v>10664</v>
      </c>
      <c r="R11" s="38" t="n">
        <f aca="false">Q11/SUM($Q$7:$Q$22)*(100-N11)</f>
        <v>5.70417643803852</v>
      </c>
      <c r="S11" s="8" t="str">
        <f aca="false">IF(LEFT(O11,1)="A","Joint decarb. roadmap, PCF exchange",IF(LEFT(O11,1)="B","Request EcoVadis + SBTi commitment",IF(LEFT(O11,1)="C","Corrective action plan within 6 months","Escalate to category mgmt; audit")))</f>
        <v>Joint decarb. roadmap, PCF exchange</v>
      </c>
    </row>
    <row r="12" customFormat="false" ht="15" hidden="false" customHeight="false" outlineLevel="0" collapsed="false">
      <c r="A12" s="43" t="str">
        <f aca="false">Supplier_Register!A11</f>
        <v>S06</v>
      </c>
      <c r="B12" s="43" t="str">
        <f aca="false">Supplier_Register!B11</f>
        <v>Mineral Fillers Alpine</v>
      </c>
      <c r="C12" s="43" t="str">
        <f aca="false">Supplier_Register!D11</f>
        <v>Calcium carbonate</v>
      </c>
      <c r="D12" s="37" t="n">
        <v>61</v>
      </c>
      <c r="E12" s="37" t="n">
        <v>65</v>
      </c>
      <c r="F12" s="37" t="n">
        <v>60</v>
      </c>
      <c r="G12" s="37" t="n">
        <v>62</v>
      </c>
      <c r="H12" s="37" t="n">
        <v>50</v>
      </c>
      <c r="I12" s="44" t="n">
        <f aca="false">40*(J12="Y")+30*(M12="Y")+15*(K12="Y")+15*(L12="Y")</f>
        <v>60</v>
      </c>
      <c r="J12" s="36" t="s">
        <v>585</v>
      </c>
      <c r="K12" s="36" t="s">
        <v>584</v>
      </c>
      <c r="L12" s="36" t="s">
        <v>584</v>
      </c>
      <c r="M12" s="43" t="str">
        <f aca="false">IF(Supplier_Register!R11="Supplier-specific","Y","N")</f>
        <v>Y</v>
      </c>
      <c r="N12" s="38" t="n">
        <f aca="false">SUMPRODUCT(E12:I12,$E$4:$I$4)</f>
        <v>60.8</v>
      </c>
      <c r="O12" s="8" t="str">
        <f aca="false">IF(N12&gt;=70,"A – Strategic partner",IF(N12&gt;=55,"B – Develop",IF(N12&gt;=40,"C – Improvement plan","D – Escalate")))</f>
        <v>B – Develop</v>
      </c>
      <c r="P12" s="16" t="n">
        <f aca="false">Supplier_Register!G11</f>
        <v>1500</v>
      </c>
      <c r="Q12" s="16" t="n">
        <f aca="false">Supplier_Register!S11</f>
        <v>714</v>
      </c>
      <c r="R12" s="38" t="n">
        <f aca="false">Q12/SUM($Q$7:$Q$22)*(100-N12)</f>
        <v>0.737498353139575</v>
      </c>
      <c r="S12" s="8" t="str">
        <f aca="false">IF(LEFT(O12,1)="A","Joint decarb. roadmap, PCF exchange",IF(LEFT(O12,1)="B","Request EcoVadis + SBTi commitment",IF(LEFT(O12,1)="C","Corrective action plan within 6 months","Escalate to category mgmt; audit")))</f>
        <v>Request EcoVadis + SBTi commitment</v>
      </c>
    </row>
    <row r="13" customFormat="false" ht="15" hidden="false" customHeight="false" outlineLevel="0" collapsed="false">
      <c r="A13" s="43" t="str">
        <f aca="false">Supplier_Register!A12</f>
        <v>S07</v>
      </c>
      <c r="B13" s="43" t="str">
        <f aca="false">Supplier_Register!B12</f>
        <v>ProcessChem Solutions</v>
      </c>
      <c r="C13" s="43" t="str">
        <f aca="false">Supplier_Register!D12</f>
        <v>Process chemicals</v>
      </c>
      <c r="D13" s="37" t="n">
        <v>52</v>
      </c>
      <c r="E13" s="37" t="n">
        <v>55</v>
      </c>
      <c r="F13" s="37" t="n">
        <v>55</v>
      </c>
      <c r="G13" s="37" t="n">
        <v>50</v>
      </c>
      <c r="H13" s="37" t="n">
        <v>40</v>
      </c>
      <c r="I13" s="44" t="n">
        <f aca="false">40*(J13="Y")+30*(M13="Y")+15*(K13="Y")+15*(L13="Y")</f>
        <v>15</v>
      </c>
      <c r="J13" s="36" t="s">
        <v>585</v>
      </c>
      <c r="K13" s="36" t="s">
        <v>584</v>
      </c>
      <c r="L13" s="36" t="s">
        <v>585</v>
      </c>
      <c r="M13" s="43" t="str">
        <f aca="false">IF(Supplier_Register!R12="Supplier-specific","Y","N")</f>
        <v>N</v>
      </c>
      <c r="N13" s="38" t="n">
        <f aca="false">SUMPRODUCT(E13:I13,$E$4:$I$4)</f>
        <v>42.75</v>
      </c>
      <c r="O13" s="8" t="str">
        <f aca="false">IF(N13&gt;=70,"A – Strategic partner",IF(N13&gt;=55,"B – Develop",IF(N13&gt;=40,"C – Improvement plan","D – Escalate")))</f>
        <v>C – Improvement plan</v>
      </c>
      <c r="P13" s="16" t="n">
        <f aca="false">Supplier_Register!G12</f>
        <v>9200</v>
      </c>
      <c r="Q13" s="16" t="n">
        <f aca="false">Supplier_Register!S12</f>
        <v>8000</v>
      </c>
      <c r="R13" s="38" t="n">
        <f aca="false">Q13/SUM($Q$7:$Q$22)*(100-N13)</f>
        <v>12.0681931964902</v>
      </c>
      <c r="S13" s="8" t="str">
        <f aca="false">IF(LEFT(O13,1)="A","Joint decarb. roadmap, PCF exchange",IF(LEFT(O13,1)="B","Request EcoVadis + SBTi commitment",IF(LEFT(O13,1)="C","Corrective action plan within 6 months","Escalate to category mgmt; audit")))</f>
        <v>Corrective action plan within 6 months</v>
      </c>
    </row>
    <row r="14" customFormat="false" ht="15" hidden="false" customHeight="false" outlineLevel="0" collapsed="false">
      <c r="A14" s="43" t="str">
        <f aca="false">Supplier_Register!A13</f>
        <v>S08</v>
      </c>
      <c r="B14" s="43" t="str">
        <f aca="false">Supplier_Register!B13</f>
        <v>PrintInk Europe</v>
      </c>
      <c r="C14" s="43" t="str">
        <f aca="false">Supplier_Register!D13</f>
        <v>Printing ink</v>
      </c>
      <c r="D14" s="37" t="n">
        <v>70</v>
      </c>
      <c r="E14" s="37" t="n">
        <v>72</v>
      </c>
      <c r="F14" s="37" t="n">
        <v>68</v>
      </c>
      <c r="G14" s="37" t="n">
        <v>70</v>
      </c>
      <c r="H14" s="37" t="n">
        <v>60</v>
      </c>
      <c r="I14" s="44" t="n">
        <f aca="false">40*(J14="Y")+30*(M14="Y")+15*(K14="Y")+15*(L14="Y")</f>
        <v>100</v>
      </c>
      <c r="J14" s="36" t="s">
        <v>584</v>
      </c>
      <c r="K14" s="36" t="s">
        <v>584</v>
      </c>
      <c r="L14" s="36" t="s">
        <v>584</v>
      </c>
      <c r="M14" s="43" t="str">
        <f aca="false">IF(Supplier_Register!R13="Supplier-specific","Y","N")</f>
        <v>Y</v>
      </c>
      <c r="N14" s="38" t="n">
        <f aca="false">SUMPRODUCT(E14:I14,$E$4:$I$4)</f>
        <v>76.7</v>
      </c>
      <c r="O14" s="8" t="str">
        <f aca="false">IF(N14&gt;=70,"A – Strategic partner",IF(N14&gt;=55,"B – Develop",IF(N14&gt;=40,"C – Improvement plan","D – Escalate")))</f>
        <v>A – Strategic partner</v>
      </c>
      <c r="P14" s="16" t="n">
        <f aca="false">Supplier_Register!G13</f>
        <v>7900</v>
      </c>
      <c r="Q14" s="16" t="n">
        <f aca="false">Supplier_Register!S13</f>
        <v>4252.5</v>
      </c>
      <c r="R14" s="38" t="n">
        <f aca="false">Q14/SUM($Q$7:$Q$22)*(100-N14)</f>
        <v>2.61082053173829</v>
      </c>
      <c r="S14" s="8" t="str">
        <f aca="false">IF(LEFT(O14,1)="A","Joint decarb. roadmap, PCF exchange",IF(LEFT(O14,1)="B","Request EcoVadis + SBTi commitment",IF(LEFT(O14,1)="C","Corrective action plan within 6 months","Escalate to category mgmt; audit")))</f>
        <v>Joint decarb. roadmap, PCF exchange</v>
      </c>
    </row>
    <row r="15" customFormat="false" ht="15" hidden="false" customHeight="false" outlineLevel="0" collapsed="false">
      <c r="A15" s="43" t="str">
        <f aca="false">Supplier_Register!A14</f>
        <v>S09</v>
      </c>
      <c r="B15" s="43" t="str">
        <f aca="false">Supplier_Register!B14</f>
        <v>CoatTech Varnish</v>
      </c>
      <c r="C15" s="43" t="str">
        <f aca="false">Supplier_Register!D14</f>
        <v>Varnish</v>
      </c>
      <c r="D15" s="37"/>
      <c r="E15" s="37" t="n">
        <v>48</v>
      </c>
      <c r="F15" s="37" t="n">
        <v>52</v>
      </c>
      <c r="G15" s="37" t="n">
        <v>50</v>
      </c>
      <c r="H15" s="37" t="n">
        <v>40</v>
      </c>
      <c r="I15" s="44" t="n">
        <f aca="false">40*(J15="Y")+30*(M15="Y")+15*(K15="Y")+15*(L15="Y")</f>
        <v>15</v>
      </c>
      <c r="J15" s="36" t="s">
        <v>585</v>
      </c>
      <c r="K15" s="36" t="s">
        <v>584</v>
      </c>
      <c r="L15" s="36" t="s">
        <v>585</v>
      </c>
      <c r="M15" s="43" t="str">
        <f aca="false">IF(Supplier_Register!R14="Supplier-specific","Y","N")</f>
        <v>N</v>
      </c>
      <c r="N15" s="38" t="n">
        <f aca="false">SUMPRODUCT(E15:I15,$E$4:$I$4)</f>
        <v>40.05</v>
      </c>
      <c r="O15" s="8" t="str">
        <f aca="false">IF(N15&gt;=70,"A – Strategic partner",IF(N15&gt;=55,"B – Develop",IF(N15&gt;=40,"C – Improvement plan","D – Escalate")))</f>
        <v>C – Improvement plan</v>
      </c>
      <c r="P15" s="16" t="n">
        <f aca="false">Supplier_Register!G14</f>
        <v>3400</v>
      </c>
      <c r="Q15" s="16" t="n">
        <f aca="false">Supplier_Register!S14</f>
        <v>2100</v>
      </c>
      <c r="R15" s="38" t="n">
        <f aca="false">Q15/SUM($Q$7:$Q$22)*(100-N15)</f>
        <v>3.31730389186056</v>
      </c>
      <c r="S15" s="8" t="str">
        <f aca="false">IF(LEFT(O15,1)="A","Joint decarb. roadmap, PCF exchange",IF(LEFT(O15,1)="B","Request EcoVadis + SBTi commitment",IF(LEFT(O15,1)="C","Corrective action plan within 6 months","Escalate to category mgmt; audit")))</f>
        <v>Corrective action plan within 6 months</v>
      </c>
    </row>
    <row r="16" customFormat="false" ht="15" hidden="false" customHeight="false" outlineLevel="0" collapsed="false">
      <c r="A16" s="43" t="str">
        <f aca="false">Supplier_Register!A15</f>
        <v>S10</v>
      </c>
      <c r="B16" s="43" t="str">
        <f aca="false">Supplier_Register!B15</f>
        <v>BondWell Adhesives</v>
      </c>
      <c r="C16" s="43" t="str">
        <f aca="false">Supplier_Register!D15</f>
        <v>Adhesive</v>
      </c>
      <c r="D16" s="37" t="n">
        <v>58</v>
      </c>
      <c r="E16" s="37" t="n">
        <v>60</v>
      </c>
      <c r="F16" s="37" t="n">
        <v>58</v>
      </c>
      <c r="G16" s="37" t="n">
        <v>60</v>
      </c>
      <c r="H16" s="37" t="n">
        <v>45</v>
      </c>
      <c r="I16" s="44" t="n">
        <f aca="false">40*(J16="Y")+30*(M16="Y")+15*(K16="Y")+15*(L16="Y")</f>
        <v>45</v>
      </c>
      <c r="J16" s="36" t="s">
        <v>585</v>
      </c>
      <c r="K16" s="36" t="s">
        <v>584</v>
      </c>
      <c r="L16" s="36" t="s">
        <v>585</v>
      </c>
      <c r="M16" s="43" t="str">
        <f aca="false">IF(Supplier_Register!R15="Supplier-specific","Y","N")</f>
        <v>Y</v>
      </c>
      <c r="N16" s="38" t="n">
        <f aca="false">SUMPRODUCT(E16:I16,$E$4:$I$4)</f>
        <v>54.35</v>
      </c>
      <c r="O16" s="8" t="str">
        <f aca="false">IF(N16&gt;=70,"A – Strategic partner",IF(N16&gt;=55,"B – Develop",IF(N16&gt;=40,"C – Improvement plan","D – Escalate")))</f>
        <v>C – Improvement plan</v>
      </c>
      <c r="P16" s="16" t="n">
        <f aca="false">Supplier_Register!G15</f>
        <v>1600</v>
      </c>
      <c r="Q16" s="16" t="n">
        <f aca="false">Supplier_Register!S15</f>
        <v>787.5</v>
      </c>
      <c r="R16" s="38" t="n">
        <f aca="false">Q16/SUM($Q$7:$Q$22)*(100-N16)</f>
        <v>0.947257648019815</v>
      </c>
      <c r="S16" s="8" t="str">
        <f aca="false">IF(LEFT(O16,1)="A","Joint decarb. roadmap, PCF exchange",IF(LEFT(O16,1)="B","Request EcoVadis + SBTi commitment",IF(LEFT(O16,1)="C","Corrective action plan within 6 months","Escalate to category mgmt; audit")))</f>
        <v>Corrective action plan within 6 months</v>
      </c>
    </row>
    <row r="17" customFormat="false" ht="15" hidden="false" customHeight="false" outlineLevel="0" collapsed="false">
      <c r="A17" s="43" t="str">
        <f aca="false">Supplier_Register!A16</f>
        <v>S11</v>
      </c>
      <c r="B17" s="43" t="str">
        <f aca="false">Supplier_Register!B16</f>
        <v>FilmPack Poly</v>
      </c>
      <c r="C17" s="43" t="str">
        <f aca="false">Supplier_Register!D16</f>
        <v>Stretch film</v>
      </c>
      <c r="D17" s="37"/>
      <c r="E17" s="37" t="n">
        <v>42</v>
      </c>
      <c r="F17" s="37" t="n">
        <v>45</v>
      </c>
      <c r="G17" s="37" t="n">
        <v>48</v>
      </c>
      <c r="H17" s="37" t="n">
        <v>30</v>
      </c>
      <c r="I17" s="44" t="n">
        <f aca="false">40*(J17="Y")+30*(M17="Y")+15*(K17="Y")+15*(L17="Y")</f>
        <v>0</v>
      </c>
      <c r="J17" s="36" t="s">
        <v>585</v>
      </c>
      <c r="K17" s="36" t="s">
        <v>585</v>
      </c>
      <c r="L17" s="36" t="s">
        <v>585</v>
      </c>
      <c r="M17" s="43" t="str">
        <f aca="false">IF(Supplier_Register!R16="Supplier-specific","Y","N")</f>
        <v>N</v>
      </c>
      <c r="N17" s="38" t="n">
        <f aca="false">SUMPRODUCT(E17:I17,$E$4:$I$4)</f>
        <v>31.8</v>
      </c>
      <c r="O17" s="8" t="str">
        <f aca="false">IF(N17&gt;=70,"A – Strategic partner",IF(N17&gt;=55,"B – Develop",IF(N17&gt;=40,"C – Improvement plan","D – Escalate")))</f>
        <v>D – Escalate</v>
      </c>
      <c r="P17" s="16" t="n">
        <f aca="false">Supplier_Register!G16</f>
        <v>1700</v>
      </c>
      <c r="Q17" s="16" t="n">
        <f aca="false">Supplier_Register!S16</f>
        <v>2223</v>
      </c>
      <c r="R17" s="38" t="n">
        <f aca="false">Q17/SUM($Q$7:$Q$22)*(100-N17)</f>
        <v>3.99485125556639</v>
      </c>
      <c r="S17" s="8" t="str">
        <f aca="false">IF(LEFT(O17,1)="A","Joint decarb. roadmap, PCF exchange",IF(LEFT(O17,1)="B","Request EcoVadis + SBTi commitment",IF(LEFT(O17,1)="C","Corrective action plan within 6 months","Escalate to category mgmt; audit")))</f>
        <v>Escalate to category mgmt; audit</v>
      </c>
    </row>
    <row r="18" customFormat="false" ht="15" hidden="false" customHeight="false" outlineLevel="0" collapsed="false">
      <c r="A18" s="43" t="str">
        <f aca="false">Supplier_Register!A17</f>
        <v>S12</v>
      </c>
      <c r="B18" s="43" t="str">
        <f aca="false">Supplier_Register!B17</f>
        <v>Gypsum Quarry Harz</v>
      </c>
      <c r="C18" s="43" t="str">
        <f aca="false">Supplier_Register!D17</f>
        <v>Natural gypsum</v>
      </c>
      <c r="D18" s="37" t="n">
        <v>63</v>
      </c>
      <c r="E18" s="37" t="n">
        <v>66</v>
      </c>
      <c r="F18" s="37" t="n">
        <v>62</v>
      </c>
      <c r="G18" s="37" t="n">
        <v>60</v>
      </c>
      <c r="H18" s="37" t="n">
        <v>50</v>
      </c>
      <c r="I18" s="44" t="n">
        <f aca="false">40*(J18="Y")+30*(M18="Y")+15*(K18="Y")+15*(L18="Y")</f>
        <v>60</v>
      </c>
      <c r="J18" s="36" t="s">
        <v>585</v>
      </c>
      <c r="K18" s="36" t="s">
        <v>584</v>
      </c>
      <c r="L18" s="36" t="s">
        <v>584</v>
      </c>
      <c r="M18" s="43" t="str">
        <f aca="false">IF(Supplier_Register!R17="Supplier-specific","Y","N")</f>
        <v>Y</v>
      </c>
      <c r="N18" s="38" t="n">
        <f aca="false">SUMPRODUCT(E18:I18,$E$4:$I$4)</f>
        <v>61.2</v>
      </c>
      <c r="O18" s="8" t="str">
        <f aca="false">IF(N18&gt;=70,"A – Strategic partner",IF(N18&gt;=55,"B – Develop",IF(N18&gt;=40,"C – Improvement plan","D – Escalate")))</f>
        <v>B – Develop</v>
      </c>
      <c r="P18" s="16" t="n">
        <f aca="false">Supplier_Register!G17</f>
        <v>4100</v>
      </c>
      <c r="Q18" s="16" t="n">
        <f aca="false">Supplier_Register!S17</f>
        <v>1012.5</v>
      </c>
      <c r="R18" s="38" t="n">
        <f aca="false">Q18/SUM($Q$7:$Q$22)*(100-N18)</f>
        <v>1.03515058891729</v>
      </c>
      <c r="S18" s="8" t="str">
        <f aca="false">IF(LEFT(O18,1)="A","Joint decarb. roadmap, PCF exchange",IF(LEFT(O18,1)="B","Request EcoVadis + SBTi commitment",IF(LEFT(O18,1)="C","Corrective action plan within 6 months","Escalate to category mgmt; audit")))</f>
        <v>Request EcoVadis + SBTi commitment</v>
      </c>
    </row>
    <row r="19" customFormat="false" ht="15" hidden="false" customHeight="false" outlineLevel="0" collapsed="false">
      <c r="A19" s="43" t="str">
        <f aca="false">Supplier_Register!A18</f>
        <v>S13</v>
      </c>
      <c r="B19" s="43" t="str">
        <f aca="false">Supplier_Register!B18</f>
        <v>Power Plant By-Products</v>
      </c>
      <c r="C19" s="43" t="str">
        <f aca="false">Supplier_Register!D18</f>
        <v>FGD gypsum</v>
      </c>
      <c r="D19" s="37"/>
      <c r="E19" s="37" t="n">
        <v>45</v>
      </c>
      <c r="F19" s="37" t="n">
        <v>55</v>
      </c>
      <c r="G19" s="37" t="n">
        <v>50</v>
      </c>
      <c r="H19" s="37" t="n">
        <v>35</v>
      </c>
      <c r="I19" s="44" t="n">
        <f aca="false">40*(J19="Y")+30*(M19="Y")+15*(K19="Y")+15*(L19="Y")</f>
        <v>15</v>
      </c>
      <c r="J19" s="36" t="s">
        <v>585</v>
      </c>
      <c r="K19" s="36" t="s">
        <v>584</v>
      </c>
      <c r="L19" s="36" t="s">
        <v>585</v>
      </c>
      <c r="M19" s="43" t="str">
        <f aca="false">IF(Supplier_Register!R18="Supplier-specific","Y","N")</f>
        <v>N</v>
      </c>
      <c r="N19" s="38" t="n">
        <f aca="false">SUMPRODUCT(E19:I19,$E$4:$I$4)</f>
        <v>39.25</v>
      </c>
      <c r="O19" s="8" t="str">
        <f aca="false">IF(N19&gt;=70,"A – Strategic partner",IF(N19&gt;=55,"B – Develop",IF(N19&gt;=40,"C – Improvement plan","D – Escalate")))</f>
        <v>D – Escalate</v>
      </c>
      <c r="P19" s="16" t="n">
        <f aca="false">Supplier_Register!G18</f>
        <v>1800</v>
      </c>
      <c r="Q19" s="16" t="n">
        <f aca="false">Supplier_Register!S18</f>
        <v>243</v>
      </c>
      <c r="R19" s="38" t="n">
        <f aca="false">Q19/SUM($Q$7:$Q$22)*(100-N19)</f>
        <v>0.388981845010672</v>
      </c>
      <c r="S19" s="8" t="str">
        <f aca="false">IF(LEFT(O19,1)="A","Joint decarb. roadmap, PCF exchange",IF(LEFT(O19,1)="B","Request EcoVadis + SBTi commitment",IF(LEFT(O19,1)="C","Corrective action plan within 6 months","Escalate to category mgmt; audit")))</f>
        <v>Escalate to category mgmt; audit</v>
      </c>
    </row>
    <row r="20" customFormat="false" ht="15" hidden="false" customHeight="false" outlineLevel="0" collapsed="false">
      <c r="A20" s="43" t="str">
        <f aca="false">Supplier_Register!A19</f>
        <v>S14</v>
      </c>
      <c r="B20" s="43" t="str">
        <f aca="false">Supplier_Register!B19</f>
        <v>Gypsum Recycling West</v>
      </c>
      <c r="C20" s="43" t="str">
        <f aca="false">Supplier_Register!D19</f>
        <v>Recycled gypsum</v>
      </c>
      <c r="D20" s="37" t="n">
        <v>66</v>
      </c>
      <c r="E20" s="37" t="n">
        <v>70</v>
      </c>
      <c r="F20" s="37" t="n">
        <v>62</v>
      </c>
      <c r="G20" s="37" t="n">
        <v>64</v>
      </c>
      <c r="H20" s="37" t="n">
        <v>55</v>
      </c>
      <c r="I20" s="44" t="n">
        <f aca="false">40*(J20="Y")+30*(M20="Y")+15*(K20="Y")+15*(L20="Y")</f>
        <v>85</v>
      </c>
      <c r="J20" s="36" t="s">
        <v>584</v>
      </c>
      <c r="K20" s="36" t="s">
        <v>584</v>
      </c>
      <c r="L20" s="36" t="s">
        <v>585</v>
      </c>
      <c r="M20" s="43" t="str">
        <f aca="false">IF(Supplier_Register!R19="Supplier-specific","Y","N")</f>
        <v>Y</v>
      </c>
      <c r="N20" s="38" t="n">
        <f aca="false">SUMPRODUCT(E20:I20,$E$4:$I$4)</f>
        <v>69.75</v>
      </c>
      <c r="O20" s="8" t="str">
        <f aca="false">IF(N20&gt;=70,"A – Strategic partner",IF(N20&gt;=55,"B – Develop",IF(N20&gt;=40,"C – Improvement plan","D – Escalate")))</f>
        <v>B – Develop</v>
      </c>
      <c r="P20" s="16" t="n">
        <f aca="false">Supplier_Register!G19</f>
        <v>2400</v>
      </c>
      <c r="Q20" s="16" t="n">
        <f aca="false">Supplier_Register!S19</f>
        <v>567</v>
      </c>
      <c r="R20" s="38" t="n">
        <f aca="false">Q20/SUM($Q$7:$Q$22)*(100-N20)</f>
        <v>0.451944612790177</v>
      </c>
      <c r="S20" s="8" t="str">
        <f aca="false">IF(LEFT(O20,1)="A","Joint decarb. roadmap, PCF exchange",IF(LEFT(O20,1)="B","Request EcoVadis + SBTi commitment",IF(LEFT(O20,1)="C","Corrective action plan within 6 months","Escalate to category mgmt; audit")))</f>
        <v>Request EcoVadis + SBTi commitment</v>
      </c>
    </row>
    <row r="21" customFormat="false" ht="15" hidden="false" customHeight="false" outlineLevel="0" collapsed="false">
      <c r="A21" s="43" t="str">
        <f aca="false">Supplier_Register!A20</f>
        <v>S15</v>
      </c>
      <c r="B21" s="43" t="str">
        <f aca="false">Supplier_Register!B20</f>
        <v>GlassFibre Components</v>
      </c>
      <c r="C21" s="43" t="str">
        <f aca="false">Supplier_Register!D20</f>
        <v>Glass fibre</v>
      </c>
      <c r="D21" s="37"/>
      <c r="E21" s="37" t="n">
        <v>50</v>
      </c>
      <c r="F21" s="37" t="n">
        <v>50</v>
      </c>
      <c r="G21" s="37" t="n">
        <v>50</v>
      </c>
      <c r="H21" s="37" t="n">
        <v>40</v>
      </c>
      <c r="I21" s="44" t="n">
        <f aca="false">40*(J21="Y")+30*(M21="Y")+15*(K21="Y")+15*(L21="Y")</f>
        <v>15</v>
      </c>
      <c r="J21" s="36" t="s">
        <v>585</v>
      </c>
      <c r="K21" s="36" t="s">
        <v>584</v>
      </c>
      <c r="L21" s="36" t="s">
        <v>585</v>
      </c>
      <c r="M21" s="43" t="str">
        <f aca="false">IF(Supplier_Register!R20="Supplier-specific","Y","N")</f>
        <v>N</v>
      </c>
      <c r="N21" s="38" t="n">
        <f aca="false">SUMPRODUCT(E21:I21,$E$4:$I$4)</f>
        <v>40.25</v>
      </c>
      <c r="O21" s="8" t="str">
        <f aca="false">IF(N21&gt;=70,"A – Strategic partner",IF(N21&gt;=55,"B – Develop",IF(N21&gt;=40,"C – Improvement plan","D – Escalate")))</f>
        <v>C – Improvement plan</v>
      </c>
      <c r="P21" s="16" t="n">
        <f aca="false">Supplier_Register!G20</f>
        <v>900</v>
      </c>
      <c r="Q21" s="16" t="n">
        <f aca="false">Supplier_Register!S20</f>
        <v>720</v>
      </c>
      <c r="R21" s="38" t="n">
        <f aca="false">Q21/SUM($Q$7:$Q$22)*(100-N21)</f>
        <v>1.13356696793233</v>
      </c>
      <c r="S21" s="8" t="str">
        <f aca="false">IF(LEFT(O21,1)="A","Joint decarb. roadmap, PCF exchange",IF(LEFT(O21,1)="B","Request EcoVadis + SBTi commitment",IF(LEFT(O21,1)="C","Corrective action plan within 6 months","Escalate to category mgmt; audit")))</f>
        <v>Corrective action plan within 6 months</v>
      </c>
    </row>
    <row r="22" customFormat="false" ht="15" hidden="false" customHeight="false" outlineLevel="0" collapsed="false">
      <c r="A22" s="43" t="str">
        <f aca="false">Supplier_Register!A21</f>
        <v>S16</v>
      </c>
      <c r="B22" s="43" t="str">
        <f aca="false">Supplier_Register!B21</f>
        <v>BuildAdd Chemicals</v>
      </c>
      <c r="C22" s="43" t="str">
        <f aca="false">Supplier_Register!D21</f>
        <v>Gypsum additives</v>
      </c>
      <c r="D22" s="37"/>
      <c r="E22" s="37" t="n">
        <v>45</v>
      </c>
      <c r="F22" s="37" t="n">
        <v>50</v>
      </c>
      <c r="G22" s="37" t="n">
        <v>50</v>
      </c>
      <c r="H22" s="37" t="n">
        <v>35</v>
      </c>
      <c r="I22" s="44" t="n">
        <f aca="false">40*(J22="Y")+30*(M22="Y")+15*(K22="Y")+15*(L22="Y")</f>
        <v>0</v>
      </c>
      <c r="J22" s="36" t="s">
        <v>585</v>
      </c>
      <c r="K22" s="36" t="s">
        <v>585</v>
      </c>
      <c r="L22" s="36" t="s">
        <v>585</v>
      </c>
      <c r="M22" s="43" t="str">
        <f aca="false">IF(Supplier_Register!R21="Supplier-specific","Y","N")</f>
        <v>N</v>
      </c>
      <c r="N22" s="38" t="n">
        <f aca="false">SUMPRODUCT(E22:I22,$E$4:$I$4)</f>
        <v>34.5</v>
      </c>
      <c r="O22" s="8" t="str">
        <f aca="false">IF(N22&gt;=70,"A – Strategic partner",IF(N22&gt;=55,"B – Develop",IF(N22&gt;=40,"C – Improvement plan","D – Escalate")))</f>
        <v>D – Escalate</v>
      </c>
      <c r="P22" s="16" t="n">
        <f aca="false">Supplier_Register!G21</f>
        <v>1100</v>
      </c>
      <c r="Q22" s="16" t="n">
        <f aca="false">Supplier_Register!S21</f>
        <v>517.5</v>
      </c>
      <c r="R22" s="38" t="n">
        <f aca="false">Q22/SUM($Q$7:$Q$22)*(100-N22)</f>
        <v>0.893158283049195</v>
      </c>
      <c r="S22" s="8" t="str">
        <f aca="false">IF(LEFT(O22,1)="A","Joint decarb. roadmap, PCF exchange",IF(LEFT(O22,1)="B","Request EcoVadis + SBTi commitment",IF(LEFT(O22,1)="C","Corrective action plan within 6 months","Escalate to category mgmt; audit")))</f>
        <v>Escalate to category mgmt; audit</v>
      </c>
    </row>
    <row r="24" customFormat="false" ht="15" hidden="false" customHeight="false" outlineLevel="0" collapsed="false">
      <c r="A24" s="35" t="s">
        <v>586</v>
      </c>
    </row>
  </sheetData>
  <conditionalFormatting sqref="O7:O22">
    <cfRule type="expression" priority="2" aboveAverage="0" equalAverage="0" bottom="0" percent="0" rank="0" text="" dxfId="0">
      <formula>LEFT(O7,1)="A"</formula>
    </cfRule>
    <cfRule type="expression" priority="3" aboveAverage="0" equalAverage="0" bottom="0" percent="0" rank="0" text="" dxfId="2">
      <formula>LEFT(O7,1)="B"</formula>
    </cfRule>
    <cfRule type="expression" priority="4" aboveAverage="0" equalAverage="0" bottom="0" percent="0" rank="0" text="" dxfId="3">
      <formula>LEFT(O7,1)="C"</formula>
    </cfRule>
    <cfRule type="expression" priority="5" aboveAverage="0" equalAverage="0" bottom="0" percent="0" rank="0" text="" dxfId="1">
      <formula>LEFT(O7,1)="D"</formula>
    </cfRule>
  </conditionalFormatting>
  <dataValidations count="3">
    <dataValidation allowBlank="true" errorStyle="stop" operator="between" showDropDown="false" showErrorMessage="false" showInputMessage="false" sqref="J7:J22" type="list">
      <formula1>"Y,N"</formula1>
      <formula2>0</formula2>
    </dataValidation>
    <dataValidation allowBlank="true" errorStyle="stop" operator="between" showDropDown="false" showErrorMessage="false" showInputMessage="false" sqref="K7:K22" type="list">
      <formula1>"Y,N"</formula1>
      <formula2>0</formula2>
    </dataValidation>
    <dataValidation allowBlank="true" errorStyle="stop" operator="between" showDropDown="false" showErrorMessage="false" showInputMessage="false" sqref="L7:L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0"/>
    <col collapsed="false" customWidth="true" hidden="false" outlineLevel="0" max="4" min="4" style="0" width="13"/>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9"/>
    <col collapsed="false" customWidth="true" hidden="false" outlineLevel="0" max="9" min="9" style="0" width="12"/>
    <col collapsed="false" customWidth="true" hidden="false" outlineLevel="0" max="10" min="10" style="0" width="13"/>
    <col collapsed="false" customWidth="true" hidden="false" outlineLevel="0" max="11" min="11" style="0" width="10"/>
    <col collapsed="false" customWidth="true" hidden="false" outlineLevel="0" max="13" min="12" style="0" width="16"/>
  </cols>
  <sheetData>
    <row r="1" customFormat="false" ht="17.35" hidden="false" customHeight="false" outlineLevel="0" collapsed="false">
      <c r="A1" s="1" t="s">
        <v>587</v>
      </c>
    </row>
    <row r="2" customFormat="false" ht="15" hidden="false" customHeight="false" outlineLevel="0" collapsed="false">
      <c r="A2" s="2" t="s">
        <v>588</v>
      </c>
    </row>
    <row r="4" customFormat="false" ht="30" hidden="false" customHeight="true" outlineLevel="0" collapsed="false">
      <c r="A4" s="5" t="s">
        <v>378</v>
      </c>
      <c r="B4" s="5" t="s">
        <v>589</v>
      </c>
      <c r="C4" s="5" t="s">
        <v>82</v>
      </c>
      <c r="D4" s="5" t="s">
        <v>590</v>
      </c>
      <c r="E4" s="5" t="s">
        <v>591</v>
      </c>
      <c r="F4" s="5" t="s">
        <v>592</v>
      </c>
      <c r="G4" s="5" t="s">
        <v>593</v>
      </c>
      <c r="H4" s="5" t="s">
        <v>594</v>
      </c>
      <c r="I4" s="5" t="s">
        <v>595</v>
      </c>
      <c r="J4" s="5" t="s">
        <v>596</v>
      </c>
      <c r="K4" s="5" t="s">
        <v>597</v>
      </c>
      <c r="L4" s="5" t="s">
        <v>598</v>
      </c>
      <c r="M4" s="5" t="s">
        <v>599</v>
      </c>
    </row>
    <row r="5" customFormat="false" ht="15" hidden="false" customHeight="false" outlineLevel="0" collapsed="false">
      <c r="A5" s="8" t="s">
        <v>600</v>
      </c>
      <c r="B5" s="8" t="s">
        <v>601</v>
      </c>
      <c r="C5" s="8" t="s">
        <v>602</v>
      </c>
      <c r="D5" s="16" t="n">
        <f aca="false">GHG_Inventory!$G$12</f>
        <v>107900.079545455</v>
      </c>
      <c r="E5" s="14" t="n">
        <v>0.5</v>
      </c>
      <c r="F5" s="19" t="n">
        <f aca="false">GHG_Inventory!$C$11*E5*Emission_Factors!$D$35/1000</f>
        <v>71933.3863636364</v>
      </c>
      <c r="G5" s="11" t="n">
        <v>0</v>
      </c>
      <c r="H5" s="37" t="n">
        <v>20</v>
      </c>
      <c r="I5" s="11" t="n">
        <v>1800</v>
      </c>
      <c r="J5" s="19" t="n">
        <f aca="false">IFERROR((G5/H5+I5)*1000/F5,"n/a")</f>
        <v>25.0231511540507</v>
      </c>
      <c r="K5" s="17" t="s">
        <v>603</v>
      </c>
      <c r="L5" s="36" t="s">
        <v>604</v>
      </c>
      <c r="M5" s="8" t="str">
        <f aca="false">IF(J5="n/a","n/a",IF(J5&lt;0,"Quick win (saves)",IF(J5&lt;=$F$17,"High – below CO₂ price",IF(J5&lt;=2*$F$17,"Medium","Low"))))</f>
        <v>High – below CO₂ price</v>
      </c>
    </row>
    <row r="6" customFormat="false" ht="15" hidden="false" customHeight="false" outlineLevel="0" collapsed="false">
      <c r="A6" s="8" t="s">
        <v>605</v>
      </c>
      <c r="B6" s="8" t="s">
        <v>606</v>
      </c>
      <c r="C6" s="8" t="s">
        <v>462</v>
      </c>
      <c r="D6" s="16" t="n">
        <f aca="false">GHG_Inventory!$G$6</f>
        <v>135763.622727273</v>
      </c>
      <c r="E6" s="14" t="n">
        <v>0.2</v>
      </c>
      <c r="F6" s="19" t="n">
        <f aca="false">D6*E6</f>
        <v>27152.7245454546</v>
      </c>
      <c r="G6" s="11" t="n">
        <v>38000</v>
      </c>
      <c r="H6" s="37" t="n">
        <v>20</v>
      </c>
      <c r="I6" s="11" t="n">
        <v>-900</v>
      </c>
      <c r="J6" s="19" t="n">
        <f aca="false">IFERROR((G6/H6+I6)*1000/F6,"n/a")</f>
        <v>36.8287167030317</v>
      </c>
      <c r="K6" s="17" t="s">
        <v>607</v>
      </c>
      <c r="L6" s="36" t="s">
        <v>608</v>
      </c>
      <c r="M6" s="8" t="str">
        <f aca="false">IF(J6="n/a","n/a",IF(J6&lt;0,"Quick win (saves)",IF(J6&lt;=$F$17,"High – below CO₂ price",IF(J6&lt;=2*$F$17,"Medium","Low"))))</f>
        <v>High – below CO₂ price</v>
      </c>
    </row>
    <row r="7" customFormat="false" ht="15" hidden="false" customHeight="false" outlineLevel="0" collapsed="false">
      <c r="A7" s="8" t="s">
        <v>609</v>
      </c>
      <c r="B7" s="8" t="s">
        <v>610</v>
      </c>
      <c r="C7" s="8" t="s">
        <v>462</v>
      </c>
      <c r="D7" s="16" t="n">
        <f aca="false">GHG_Inventory!$G$6</f>
        <v>135763.622727273</v>
      </c>
      <c r="E7" s="14" t="n">
        <v>0.15</v>
      </c>
      <c r="F7" s="19" t="n">
        <f aca="false">D7*E7</f>
        <v>20364.5434090909</v>
      </c>
      <c r="G7" s="11" t="n">
        <v>9000</v>
      </c>
      <c r="H7" s="37" t="n">
        <v>15</v>
      </c>
      <c r="I7" s="11" t="n">
        <v>1500</v>
      </c>
      <c r="J7" s="19" t="n">
        <f aca="false">IFERROR((G7/H7+I7)*1000/F7,"n/a")</f>
        <v>103.120406768489</v>
      </c>
      <c r="K7" s="17" t="s">
        <v>611</v>
      </c>
      <c r="L7" s="36" t="s">
        <v>608</v>
      </c>
      <c r="M7" s="8" t="str">
        <f aca="false">IF(J7="n/a","n/a",IF(J7&lt;0,"Quick win (saves)",IF(J7&lt;=$F$17,"High – below CO₂ price",IF(J7&lt;=2*$F$17,"Medium","Low"))))</f>
        <v>Medium</v>
      </c>
    </row>
    <row r="8" customFormat="false" ht="15" hidden="false" customHeight="false" outlineLevel="0" collapsed="false">
      <c r="A8" s="8" t="s">
        <v>612</v>
      </c>
      <c r="B8" s="8" t="s">
        <v>613</v>
      </c>
      <c r="C8" s="8" t="s">
        <v>462</v>
      </c>
      <c r="D8" s="16" t="n">
        <f aca="false">GHG_Inventory!$G$8</f>
        <v>60601.5</v>
      </c>
      <c r="E8" s="14" t="n">
        <v>0.12</v>
      </c>
      <c r="F8" s="19" t="n">
        <f aca="false">D8*E8</f>
        <v>7272.18</v>
      </c>
      <c r="G8" s="11" t="n">
        <v>6000</v>
      </c>
      <c r="H8" s="37" t="n">
        <v>15</v>
      </c>
      <c r="I8" s="11" t="n">
        <v>-700</v>
      </c>
      <c r="J8" s="19" t="n">
        <f aca="false">IFERROR((G8/H8+I8)*1000/F8,"n/a")</f>
        <v>-41.2531042960983</v>
      </c>
      <c r="K8" s="17" t="s">
        <v>603</v>
      </c>
      <c r="L8" s="36" t="s">
        <v>614</v>
      </c>
      <c r="M8" s="8" t="str">
        <f aca="false">IF(J8="n/a","n/a",IF(J8&lt;0,"Quick win (saves)",IF(J8&lt;=$F$17,"High – below CO₂ price",IF(J8&lt;=2*$F$17,"Medium","Low"))))</f>
        <v>Quick win (saves)</v>
      </c>
    </row>
    <row r="9" customFormat="false" ht="15" hidden="false" customHeight="false" outlineLevel="0" collapsed="false">
      <c r="A9" s="8" t="s">
        <v>615</v>
      </c>
      <c r="B9" s="8" t="s">
        <v>616</v>
      </c>
      <c r="C9" s="8" t="s">
        <v>462</v>
      </c>
      <c r="D9" s="16" t="n">
        <f aca="false">GHG_Inventory!$G$8</f>
        <v>60601.5</v>
      </c>
      <c r="E9" s="14" t="n">
        <v>0.2</v>
      </c>
      <c r="F9" s="19" t="n">
        <f aca="false">D9*E9*(PCF_GypsumBoard!$C$22/(PCF_GypsumBoard!$C$22+PCF_GypsumBoard!$C$23))*(1-Emission_Factors!$D$36/Emission_Factors!$D$5)</f>
        <v>3385.8</v>
      </c>
      <c r="G9" s="11" t="n">
        <v>500</v>
      </c>
      <c r="H9" s="37" t="n">
        <v>10</v>
      </c>
      <c r="I9" s="11" t="n">
        <v>1600</v>
      </c>
      <c r="J9" s="19" t="n">
        <f aca="false">IFERROR((G9/H9+I9)*1000/F9,"n/a")</f>
        <v>487.329434697856</v>
      </c>
      <c r="K9" s="17" t="s">
        <v>607</v>
      </c>
      <c r="L9" s="36" t="s">
        <v>604</v>
      </c>
      <c r="M9" s="8" t="str">
        <f aca="false">IF(J9="n/a","n/a",IF(J9&lt;0,"Quick win (saves)",IF(J9&lt;=$F$17,"High – below CO₂ price",IF(J9&lt;=2*$F$17,"Medium","Low"))))</f>
        <v>Low</v>
      </c>
    </row>
    <row r="10" customFormat="false" ht="15" hidden="false" customHeight="false" outlineLevel="0" collapsed="false">
      <c r="A10" s="8" t="s">
        <v>617</v>
      </c>
      <c r="B10" s="8" t="s">
        <v>618</v>
      </c>
      <c r="C10" s="8" t="s">
        <v>619</v>
      </c>
      <c r="D10" s="16" t="n">
        <f aca="false">GHG_Inventory!$G$15</f>
        <v>10664</v>
      </c>
      <c r="E10" s="14" t="n">
        <v>0.3</v>
      </c>
      <c r="F10" s="19" t="n">
        <f aca="false">D10*E10</f>
        <v>3199.2</v>
      </c>
      <c r="G10" s="11" t="n">
        <v>0</v>
      </c>
      <c r="H10" s="37" t="n">
        <v>10</v>
      </c>
      <c r="I10" s="11" t="n">
        <v>250</v>
      </c>
      <c r="J10" s="19" t="n">
        <f aca="false">IFERROR((G10/H10+I10)*1000/F10,"n/a")</f>
        <v>78.1445361340335</v>
      </c>
      <c r="K10" s="17" t="s">
        <v>603</v>
      </c>
      <c r="L10" s="36" t="s">
        <v>620</v>
      </c>
      <c r="M10" s="8" t="str">
        <f aca="false">IF(J10="n/a","n/a",IF(J10&lt;0,"Quick win (saves)",IF(J10&lt;=$F$17,"High – below CO₂ price",IF(J10&lt;=2*$F$17,"Medium","Low"))))</f>
        <v>High – below CO₂ price</v>
      </c>
    </row>
    <row r="11" customFormat="false" ht="15" hidden="false" customHeight="false" outlineLevel="0" collapsed="false">
      <c r="A11" s="8" t="s">
        <v>621</v>
      </c>
      <c r="B11" s="8" t="s">
        <v>622</v>
      </c>
      <c r="C11" s="8" t="s">
        <v>619</v>
      </c>
      <c r="D11" s="16" t="n">
        <f aca="false">GHG_Inventory!$G$18</f>
        <v>4252.5</v>
      </c>
      <c r="E11" s="14" t="n">
        <v>0.25</v>
      </c>
      <c r="F11" s="19" t="n">
        <f aca="false">D11*E11</f>
        <v>1063.125</v>
      </c>
      <c r="G11" s="11" t="n">
        <v>0</v>
      </c>
      <c r="H11" s="37" t="n">
        <v>10</v>
      </c>
      <c r="I11" s="11" t="n">
        <v>150</v>
      </c>
      <c r="J11" s="19" t="n">
        <f aca="false">IFERROR((G11/H11+I11)*1000/F11,"n/a")</f>
        <v>141.093474426808</v>
      </c>
      <c r="K11" s="17" t="s">
        <v>603</v>
      </c>
      <c r="L11" s="36" t="s">
        <v>623</v>
      </c>
      <c r="M11" s="8" t="str">
        <f aca="false">IF(J11="n/a","n/a",IF(J11&lt;0,"Quick win (saves)",IF(J11&lt;=$F$17,"High – below CO₂ price",IF(J11&lt;=2*$F$17,"Medium","Low"))))</f>
        <v>Medium</v>
      </c>
    </row>
    <row r="12" customFormat="false" ht="15" hidden="false" customHeight="false" outlineLevel="0" collapsed="false">
      <c r="A12" s="8" t="s">
        <v>624</v>
      </c>
      <c r="B12" s="8" t="s">
        <v>625</v>
      </c>
      <c r="C12" s="8" t="s">
        <v>626</v>
      </c>
      <c r="D12" s="16" t="n">
        <f aca="false">GHG_Inventory!$G$32</f>
        <v>6307.01761363636</v>
      </c>
      <c r="E12" s="14" t="n">
        <v>0.4</v>
      </c>
      <c r="F12" s="19" t="n">
        <f aca="false">D12*E12*(1-Emission_Factors!$D$11/Emission_Factors!$D$10)</f>
        <v>1779.24286363636</v>
      </c>
      <c r="G12" s="11" t="n">
        <v>0</v>
      </c>
      <c r="H12" s="37" t="n">
        <v>10</v>
      </c>
      <c r="I12" s="11" t="n">
        <v>300</v>
      </c>
      <c r="J12" s="19" t="n">
        <f aca="false">IFERROR((G12/H12+I12)*1000/F12,"n/a")</f>
        <v>168.611045816909</v>
      </c>
      <c r="K12" s="17" t="s">
        <v>607</v>
      </c>
      <c r="L12" s="36" t="s">
        <v>627</v>
      </c>
      <c r="M12" s="8" t="str">
        <f aca="false">IF(J12="n/a","n/a",IF(J12&lt;0,"Quick win (saves)",IF(J12&lt;=$F$17,"High – below CO₂ price",IF(J12&lt;=2*$F$17,"Medium","Low"))))</f>
        <v>Medium</v>
      </c>
    </row>
    <row r="13" customFormat="false" ht="15" hidden="false" customHeight="false" outlineLevel="0" collapsed="false">
      <c r="A13" s="8" t="s">
        <v>628</v>
      </c>
      <c r="B13" s="8" t="s">
        <v>629</v>
      </c>
      <c r="C13" s="8" t="s">
        <v>630</v>
      </c>
      <c r="D13" s="16" t="n">
        <f aca="false">Company_Inputs!$B$11*PCF_Board!$G$21/1000</f>
        <v>85519.8153409091</v>
      </c>
      <c r="E13" s="14" t="n">
        <v>0.05</v>
      </c>
      <c r="F13" s="19" t="n">
        <f aca="false">D13*E13</f>
        <v>4275.99076704546</v>
      </c>
      <c r="G13" s="11" t="n">
        <v>1500</v>
      </c>
      <c r="H13" s="37" t="n">
        <v>10</v>
      </c>
      <c r="I13" s="11" t="n">
        <v>-1200</v>
      </c>
      <c r="J13" s="19" t="n">
        <f aca="false">IFERROR((G13/H13+I13)*1000/F13,"n/a")</f>
        <v>-245.557125167861</v>
      </c>
      <c r="K13" s="17" t="s">
        <v>603</v>
      </c>
      <c r="L13" s="36" t="s">
        <v>631</v>
      </c>
      <c r="M13" s="8" t="str">
        <f aca="false">IF(J13="n/a","n/a",IF(J13&lt;0,"Quick win (saves)",IF(J13&lt;=$F$17,"High – below CO₂ price",IF(J13&lt;=2*$F$17,"Medium","Low"))))</f>
        <v>Quick win (saves)</v>
      </c>
    </row>
    <row r="14" customFormat="false" ht="15" hidden="false" customHeight="false" outlineLevel="0" collapsed="false">
      <c r="A14" s="8" t="s">
        <v>632</v>
      </c>
      <c r="B14" s="8" t="s">
        <v>633</v>
      </c>
      <c r="C14" s="8" t="s">
        <v>619</v>
      </c>
      <c r="D14" s="16" t="n">
        <f aca="false">GHG_Inventory!$G$14</f>
        <v>6150</v>
      </c>
      <c r="E14" s="14" t="n">
        <v>0.3</v>
      </c>
      <c r="F14" s="19" t="n">
        <f aca="false">D14*E14</f>
        <v>1845</v>
      </c>
      <c r="G14" s="11" t="n">
        <v>0</v>
      </c>
      <c r="H14" s="37" t="n">
        <v>10</v>
      </c>
      <c r="I14" s="11" t="n">
        <v>100</v>
      </c>
      <c r="J14" s="19" t="n">
        <f aca="false">IFERROR((G14/H14+I14)*1000/F14,"n/a")</f>
        <v>54.2005420054201</v>
      </c>
      <c r="K14" s="17" t="s">
        <v>611</v>
      </c>
      <c r="L14" s="36" t="s">
        <v>634</v>
      </c>
      <c r="M14" s="8" t="str">
        <f aca="false">IF(J14="n/a","n/a",IF(J14&lt;0,"Quick win (saves)",IF(J14&lt;=$F$17,"High – below CO₂ price",IF(J14&lt;=2*$F$17,"Medium","Low"))))</f>
        <v>High – below CO₂ price</v>
      </c>
    </row>
    <row r="15" customFormat="false" ht="15" hidden="false" customHeight="false" outlineLevel="0" collapsed="false">
      <c r="A15" s="26"/>
      <c r="B15" s="25" t="s">
        <v>635</v>
      </c>
      <c r="C15" s="26"/>
      <c r="D15" s="26"/>
      <c r="E15" s="26"/>
      <c r="F15" s="40" t="n">
        <f aca="false">SUM(F5:F14)</f>
        <v>142271.192948864</v>
      </c>
      <c r="G15" s="40" t="n">
        <f aca="false">SUM(G5:G14)</f>
        <v>55000</v>
      </c>
      <c r="H15" s="26"/>
      <c r="I15" s="26"/>
      <c r="J15" s="26"/>
      <c r="K15" s="26"/>
      <c r="L15" s="26"/>
      <c r="M15" s="26"/>
    </row>
    <row r="16" customFormat="false" ht="15" hidden="false" customHeight="false" outlineLevel="0" collapsed="false">
      <c r="B16" s="8" t="s">
        <v>636</v>
      </c>
      <c r="F16" s="24" t="n">
        <f aca="false">F15/GHG_Inventory!$G$55</f>
        <v>0.278363578755612</v>
      </c>
    </row>
    <row r="17" customFormat="false" ht="15" hidden="false" customHeight="false" outlineLevel="0" collapsed="false">
      <c r="B17" s="35" t="s">
        <v>637</v>
      </c>
      <c r="F17" s="11" t="n">
        <v>100</v>
      </c>
    </row>
    <row r="19" customFormat="false" ht="15" hidden="false" customHeight="false" outlineLevel="0" collapsed="false">
      <c r="B19" s="35" t="s">
        <v>638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70"/>
    <col collapsed="false" customWidth="true" hidden="false" outlineLevel="0" max="4" min="4" style="0" width="18"/>
    <col collapsed="false" customWidth="true" hidden="false" outlineLevel="0" max="5" min="5" style="0" width="10"/>
    <col collapsed="false" customWidth="true" hidden="false" outlineLevel="0" max="6" min="6" style="0" width="26"/>
    <col collapsed="false" customWidth="true" hidden="false" outlineLevel="0" max="7" min="7" style="0" width="28"/>
  </cols>
  <sheetData>
    <row r="1" customFormat="false" ht="17.35" hidden="false" customHeight="false" outlineLevel="0" collapsed="false">
      <c r="A1" s="1" t="s">
        <v>639</v>
      </c>
    </row>
    <row r="2" customFormat="false" ht="15" hidden="false" customHeight="false" outlineLevel="0" collapsed="false">
      <c r="A2" s="2" t="s">
        <v>640</v>
      </c>
    </row>
    <row r="4" customFormat="false" ht="30" hidden="false" customHeight="true" outlineLevel="0" collapsed="false">
      <c r="A4" s="5" t="s">
        <v>641</v>
      </c>
      <c r="B4" s="5" t="s">
        <v>642</v>
      </c>
      <c r="C4" s="5" t="s">
        <v>643</v>
      </c>
      <c r="D4" s="5" t="s">
        <v>644</v>
      </c>
      <c r="E4" s="5" t="s">
        <v>645</v>
      </c>
      <c r="F4" s="5" t="s">
        <v>646</v>
      </c>
      <c r="G4" s="5" t="s">
        <v>647</v>
      </c>
    </row>
    <row r="5" customFormat="false" ht="15" hidden="false" customHeight="false" outlineLevel="0" collapsed="false">
      <c r="A5" s="8" t="s">
        <v>648</v>
      </c>
      <c r="B5" s="8" t="s">
        <v>649</v>
      </c>
      <c r="C5" s="4" t="s">
        <v>650</v>
      </c>
      <c r="D5" s="8" t="s">
        <v>651</v>
      </c>
      <c r="E5" s="8" t="s">
        <v>584</v>
      </c>
      <c r="F5" s="36" t="s">
        <v>652</v>
      </c>
      <c r="G5" s="8" t="s">
        <v>480</v>
      </c>
    </row>
    <row r="6" customFormat="false" ht="15" hidden="false" customHeight="false" outlineLevel="0" collapsed="false">
      <c r="A6" s="8" t="s">
        <v>653</v>
      </c>
      <c r="B6" s="8" t="s">
        <v>649</v>
      </c>
      <c r="C6" s="4" t="s">
        <v>654</v>
      </c>
      <c r="D6" s="8" t="s">
        <v>655</v>
      </c>
      <c r="E6" s="8" t="s">
        <v>584</v>
      </c>
      <c r="F6" s="36" t="s">
        <v>656</v>
      </c>
      <c r="G6" s="8" t="s">
        <v>657</v>
      </c>
    </row>
    <row r="7" customFormat="false" ht="15" hidden="false" customHeight="false" outlineLevel="0" collapsed="false">
      <c r="A7" s="8" t="s">
        <v>658</v>
      </c>
      <c r="B7" s="8" t="s">
        <v>659</v>
      </c>
      <c r="C7" s="4" t="s">
        <v>660</v>
      </c>
      <c r="D7" s="8" t="s">
        <v>661</v>
      </c>
      <c r="E7" s="8" t="s">
        <v>584</v>
      </c>
      <c r="F7" s="36" t="s">
        <v>584</v>
      </c>
      <c r="G7" s="8" t="s">
        <v>571</v>
      </c>
    </row>
    <row r="8" customFormat="false" ht="15" hidden="false" customHeight="false" outlineLevel="0" collapsed="false">
      <c r="A8" s="8" t="s">
        <v>662</v>
      </c>
      <c r="B8" s="8" t="s">
        <v>659</v>
      </c>
      <c r="C8" s="4" t="s">
        <v>663</v>
      </c>
      <c r="D8" s="8" t="s">
        <v>664</v>
      </c>
      <c r="E8" s="8" t="s">
        <v>584</v>
      </c>
      <c r="F8" s="36" t="s">
        <v>665</v>
      </c>
      <c r="G8" s="8" t="s">
        <v>666</v>
      </c>
    </row>
    <row r="9" customFormat="false" ht="15" hidden="false" customHeight="false" outlineLevel="0" collapsed="false">
      <c r="A9" s="8" t="s">
        <v>667</v>
      </c>
      <c r="B9" s="8" t="s">
        <v>659</v>
      </c>
      <c r="C9" s="4" t="s">
        <v>668</v>
      </c>
      <c r="D9" s="8" t="s">
        <v>39</v>
      </c>
      <c r="E9" s="8" t="s">
        <v>584</v>
      </c>
      <c r="F9" s="36" t="s">
        <v>669</v>
      </c>
      <c r="G9" s="8" t="s">
        <v>76</v>
      </c>
    </row>
    <row r="10" customFormat="false" ht="15" hidden="false" customHeight="false" outlineLevel="0" collapsed="false">
      <c r="A10" s="8" t="s">
        <v>670</v>
      </c>
      <c r="B10" s="8" t="s">
        <v>659</v>
      </c>
      <c r="C10" s="4" t="s">
        <v>671</v>
      </c>
      <c r="D10" s="8" t="s">
        <v>651</v>
      </c>
      <c r="E10" s="8" t="s">
        <v>585</v>
      </c>
      <c r="F10" s="36" t="s">
        <v>672</v>
      </c>
      <c r="G10" s="8" t="s">
        <v>76</v>
      </c>
    </row>
    <row r="11" customFormat="false" ht="15" hidden="false" customHeight="false" outlineLevel="0" collapsed="false">
      <c r="A11" s="8" t="s">
        <v>673</v>
      </c>
      <c r="B11" s="8" t="s">
        <v>674</v>
      </c>
      <c r="C11" s="4" t="s">
        <v>675</v>
      </c>
      <c r="D11" s="8" t="s">
        <v>676</v>
      </c>
      <c r="E11" s="8" t="s">
        <v>584</v>
      </c>
      <c r="F11" s="36" t="s">
        <v>677</v>
      </c>
      <c r="G11" s="8" t="s">
        <v>678</v>
      </c>
    </row>
    <row r="12" customFormat="false" ht="15" hidden="false" customHeight="false" outlineLevel="0" collapsed="false">
      <c r="A12" s="8" t="s">
        <v>679</v>
      </c>
      <c r="B12" s="8" t="s">
        <v>674</v>
      </c>
      <c r="C12" s="4" t="s">
        <v>680</v>
      </c>
      <c r="D12" s="8" t="s">
        <v>681</v>
      </c>
      <c r="E12" s="8" t="s">
        <v>584</v>
      </c>
      <c r="F12" s="36" t="s">
        <v>682</v>
      </c>
      <c r="G12" s="8" t="s">
        <v>683</v>
      </c>
    </row>
    <row r="13" customFormat="false" ht="15" hidden="false" customHeight="false" outlineLevel="0" collapsed="false">
      <c r="A13" s="8" t="s">
        <v>684</v>
      </c>
      <c r="B13" s="8" t="s">
        <v>674</v>
      </c>
      <c r="C13" s="4" t="s">
        <v>685</v>
      </c>
      <c r="D13" s="8" t="s">
        <v>686</v>
      </c>
      <c r="E13" s="8" t="s">
        <v>584</v>
      </c>
      <c r="F13" s="36" t="s">
        <v>687</v>
      </c>
      <c r="G13" s="8" t="s">
        <v>688</v>
      </c>
    </row>
    <row r="14" customFormat="false" ht="15" hidden="false" customHeight="false" outlineLevel="0" collapsed="false">
      <c r="A14" s="8" t="s">
        <v>689</v>
      </c>
      <c r="B14" s="8" t="s">
        <v>674</v>
      </c>
      <c r="C14" s="4" t="s">
        <v>690</v>
      </c>
      <c r="D14" s="8" t="s">
        <v>651</v>
      </c>
      <c r="E14" s="8" t="s">
        <v>584</v>
      </c>
      <c r="F14" s="36" t="s">
        <v>691</v>
      </c>
      <c r="G14" s="8" t="s">
        <v>692</v>
      </c>
    </row>
    <row r="15" customFormat="false" ht="15" hidden="false" customHeight="false" outlineLevel="0" collapsed="false">
      <c r="A15" s="8" t="s">
        <v>693</v>
      </c>
      <c r="B15" s="8" t="s">
        <v>674</v>
      </c>
      <c r="C15" s="4" t="s">
        <v>694</v>
      </c>
      <c r="D15" s="8" t="s">
        <v>651</v>
      </c>
      <c r="E15" s="8" t="s">
        <v>584</v>
      </c>
      <c r="F15" s="36" t="s">
        <v>695</v>
      </c>
      <c r="G15" s="8" t="s">
        <v>696</v>
      </c>
    </row>
    <row r="16" customFormat="false" ht="15" hidden="false" customHeight="false" outlineLevel="0" collapsed="false">
      <c r="A16" s="8" t="s">
        <v>697</v>
      </c>
      <c r="B16" s="8" t="s">
        <v>674</v>
      </c>
      <c r="C16" s="4" t="s">
        <v>698</v>
      </c>
      <c r="D16" s="8" t="s">
        <v>699</v>
      </c>
      <c r="E16" s="8" t="s">
        <v>584</v>
      </c>
      <c r="F16" s="36" t="s">
        <v>584</v>
      </c>
      <c r="G16" s="8" t="s">
        <v>700</v>
      </c>
    </row>
    <row r="17" customFormat="false" ht="15" hidden="false" customHeight="false" outlineLevel="0" collapsed="false">
      <c r="A17" s="8" t="s">
        <v>701</v>
      </c>
      <c r="B17" s="8" t="s">
        <v>702</v>
      </c>
      <c r="C17" s="4" t="s">
        <v>703</v>
      </c>
      <c r="D17" s="8" t="s">
        <v>704</v>
      </c>
      <c r="E17" s="8" t="s">
        <v>584</v>
      </c>
      <c r="F17" s="36" t="s">
        <v>705</v>
      </c>
      <c r="G17" s="8" t="s">
        <v>706</v>
      </c>
    </row>
    <row r="18" customFormat="false" ht="15" hidden="false" customHeight="false" outlineLevel="0" collapsed="false">
      <c r="A18" s="8" t="s">
        <v>707</v>
      </c>
      <c r="B18" s="8" t="s">
        <v>702</v>
      </c>
      <c r="C18" s="4" t="s">
        <v>708</v>
      </c>
      <c r="D18" s="8" t="s">
        <v>651</v>
      </c>
      <c r="E18" s="8" t="s">
        <v>585</v>
      </c>
      <c r="F18" s="36" t="s">
        <v>709</v>
      </c>
      <c r="G18" s="8" t="s">
        <v>710</v>
      </c>
    </row>
    <row r="19" customFormat="false" ht="15" hidden="false" customHeight="false" outlineLevel="0" collapsed="false">
      <c r="A19" s="8" t="s">
        <v>711</v>
      </c>
      <c r="B19" s="8" t="s">
        <v>702</v>
      </c>
      <c r="C19" s="4" t="s">
        <v>712</v>
      </c>
      <c r="D19" s="8" t="s">
        <v>713</v>
      </c>
      <c r="E19" s="8" t="s">
        <v>585</v>
      </c>
      <c r="F19" s="36" t="s">
        <v>714</v>
      </c>
      <c r="G19" s="8" t="s">
        <v>710</v>
      </c>
    </row>
    <row r="20" customFormat="false" ht="15" hidden="false" customHeight="false" outlineLevel="0" collapsed="false">
      <c r="A20" s="8" t="s">
        <v>715</v>
      </c>
      <c r="B20" s="8" t="s">
        <v>716</v>
      </c>
      <c r="C20" s="4" t="s">
        <v>717</v>
      </c>
      <c r="D20" s="8" t="s">
        <v>661</v>
      </c>
      <c r="E20" s="8" t="s">
        <v>584</v>
      </c>
      <c r="F20" s="36" t="s">
        <v>584</v>
      </c>
      <c r="G20" s="8" t="s">
        <v>718</v>
      </c>
    </row>
    <row r="21" customFormat="false" ht="15" hidden="false" customHeight="false" outlineLevel="0" collapsed="false">
      <c r="A21" s="8" t="s">
        <v>719</v>
      </c>
      <c r="B21" s="8" t="s">
        <v>716</v>
      </c>
      <c r="C21" s="4" t="s">
        <v>720</v>
      </c>
      <c r="D21" s="8" t="s">
        <v>676</v>
      </c>
      <c r="E21" s="8" t="s">
        <v>584</v>
      </c>
      <c r="F21" s="36" t="s">
        <v>721</v>
      </c>
      <c r="G21" s="8" t="s">
        <v>718</v>
      </c>
    </row>
    <row r="22" customFormat="false" ht="15" hidden="false" customHeight="false" outlineLevel="0" collapsed="false">
      <c r="A22" s="8" t="s">
        <v>722</v>
      </c>
      <c r="B22" s="8" t="s">
        <v>723</v>
      </c>
      <c r="C22" s="4" t="s">
        <v>724</v>
      </c>
      <c r="D22" s="8" t="s">
        <v>699</v>
      </c>
      <c r="E22" s="8" t="s">
        <v>584</v>
      </c>
      <c r="F22" s="36" t="s">
        <v>584</v>
      </c>
      <c r="G22" s="8" t="s">
        <v>725</v>
      </c>
    </row>
    <row r="23" customFormat="false" ht="15" hidden="false" customHeight="false" outlineLevel="0" collapsed="false">
      <c r="A23" s="8" t="s">
        <v>726</v>
      </c>
      <c r="B23" s="8" t="s">
        <v>723</v>
      </c>
      <c r="C23" s="4" t="s">
        <v>727</v>
      </c>
      <c r="D23" s="8" t="s">
        <v>699</v>
      </c>
      <c r="E23" s="8" t="s">
        <v>584</v>
      </c>
      <c r="F23" s="36" t="s">
        <v>584</v>
      </c>
      <c r="G23" s="8" t="s">
        <v>725</v>
      </c>
    </row>
    <row r="24" customFormat="false" ht="15" hidden="false" customHeight="false" outlineLevel="0" collapsed="false">
      <c r="A24" s="8" t="s">
        <v>728</v>
      </c>
      <c r="B24" s="8" t="s">
        <v>729</v>
      </c>
      <c r="C24" s="4" t="s">
        <v>730</v>
      </c>
      <c r="D24" s="8" t="s">
        <v>39</v>
      </c>
      <c r="E24" s="8" t="s">
        <v>585</v>
      </c>
      <c r="F24" s="36" t="s">
        <v>731</v>
      </c>
      <c r="G24" s="8" t="s">
        <v>732</v>
      </c>
    </row>
    <row r="25" customFormat="false" ht="15" hidden="false" customHeight="false" outlineLevel="0" collapsed="false">
      <c r="A25" s="8" t="s">
        <v>733</v>
      </c>
      <c r="B25" s="8" t="s">
        <v>729</v>
      </c>
      <c r="C25" s="4" t="s">
        <v>734</v>
      </c>
      <c r="D25" s="8" t="s">
        <v>651</v>
      </c>
      <c r="E25" s="8" t="s">
        <v>584</v>
      </c>
      <c r="F25" s="36" t="s">
        <v>735</v>
      </c>
      <c r="G25" s="8" t="s">
        <v>736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26"/>
    <col collapsed="false" customWidth="true" hidden="false" outlineLevel="0" max="4" min="4" style="0" width="18"/>
    <col collapsed="false" customWidth="true" hidden="false" outlineLevel="0" max="5" min="5" style="0" width="12"/>
    <col collapsed="false" customWidth="true" hidden="false" outlineLevel="0" max="6" min="6" style="0" width="48"/>
    <col collapsed="false" customWidth="true" hidden="false" outlineLevel="0" max="7" min="7" style="0" width="30"/>
  </cols>
  <sheetData>
    <row r="1" customFormat="false" ht="17.35" hidden="false" customHeight="false" outlineLevel="0" collapsed="false">
      <c r="A1" s="1" t="s">
        <v>737</v>
      </c>
    </row>
    <row r="2" customFormat="false" ht="15" hidden="false" customHeight="false" outlineLevel="0" collapsed="false">
      <c r="A2" s="2" t="s">
        <v>738</v>
      </c>
    </row>
    <row r="4" customFormat="false" ht="30" hidden="false" customHeight="true" outlineLevel="0" collapsed="false">
      <c r="A4" s="5" t="s">
        <v>641</v>
      </c>
      <c r="B4" s="5" t="s">
        <v>739</v>
      </c>
      <c r="C4" s="5" t="s">
        <v>740</v>
      </c>
      <c r="D4" s="5" t="s">
        <v>741</v>
      </c>
      <c r="E4" s="5" t="s">
        <v>742</v>
      </c>
      <c r="F4" s="5" t="s">
        <v>743</v>
      </c>
      <c r="G4" s="5" t="s">
        <v>744</v>
      </c>
    </row>
    <row r="5" customFormat="false" ht="15" hidden="false" customHeight="false" outlineLevel="0" collapsed="false">
      <c r="A5" s="8" t="s">
        <v>745</v>
      </c>
      <c r="B5" s="4" t="s">
        <v>746</v>
      </c>
      <c r="C5" s="4" t="s">
        <v>747</v>
      </c>
      <c r="D5" s="4" t="s">
        <v>748</v>
      </c>
      <c r="E5" s="4" t="s">
        <v>749</v>
      </c>
      <c r="F5" s="4" t="s">
        <v>750</v>
      </c>
      <c r="G5" s="4" t="s">
        <v>751</v>
      </c>
    </row>
    <row r="6" customFormat="false" ht="23.85" hidden="false" customHeight="false" outlineLevel="0" collapsed="false">
      <c r="A6" s="8" t="s">
        <v>752</v>
      </c>
      <c r="B6" s="4" t="s">
        <v>753</v>
      </c>
      <c r="C6" s="4" t="s">
        <v>754</v>
      </c>
      <c r="D6" s="4" t="s">
        <v>755</v>
      </c>
      <c r="E6" s="4" t="s">
        <v>756</v>
      </c>
      <c r="F6" s="4" t="s">
        <v>757</v>
      </c>
      <c r="G6" s="4" t="s">
        <v>758</v>
      </c>
    </row>
    <row r="7" customFormat="false" ht="23.85" hidden="false" customHeight="false" outlineLevel="0" collapsed="false">
      <c r="A7" s="8" t="s">
        <v>759</v>
      </c>
      <c r="B7" s="4" t="s">
        <v>760</v>
      </c>
      <c r="C7" s="4" t="s">
        <v>761</v>
      </c>
      <c r="D7" s="4" t="s">
        <v>755</v>
      </c>
      <c r="E7" s="4" t="s">
        <v>762</v>
      </c>
      <c r="F7" s="4" t="s">
        <v>763</v>
      </c>
      <c r="G7" s="4" t="s">
        <v>764</v>
      </c>
    </row>
    <row r="8" customFormat="false" ht="23.85" hidden="false" customHeight="false" outlineLevel="0" collapsed="false">
      <c r="A8" s="8" t="s">
        <v>765</v>
      </c>
      <c r="B8" s="4" t="s">
        <v>766</v>
      </c>
      <c r="C8" s="4" t="s">
        <v>767</v>
      </c>
      <c r="D8" s="4" t="s">
        <v>755</v>
      </c>
      <c r="E8" s="4" t="s">
        <v>762</v>
      </c>
      <c r="F8" s="4" t="s">
        <v>768</v>
      </c>
      <c r="G8" s="4" t="s">
        <v>769</v>
      </c>
    </row>
    <row r="9" customFormat="false" ht="15" hidden="false" customHeight="false" outlineLevel="0" collapsed="false">
      <c r="A9" s="8" t="s">
        <v>770</v>
      </c>
      <c r="B9" s="4" t="s">
        <v>771</v>
      </c>
      <c r="C9" s="4" t="s">
        <v>772</v>
      </c>
      <c r="D9" s="4" t="s">
        <v>773</v>
      </c>
      <c r="E9" s="4" t="s">
        <v>774</v>
      </c>
      <c r="F9" s="4" t="s">
        <v>775</v>
      </c>
      <c r="G9" s="4" t="s">
        <v>776</v>
      </c>
    </row>
    <row r="10" customFormat="false" ht="23.85" hidden="false" customHeight="false" outlineLevel="0" collapsed="false">
      <c r="A10" s="8" t="s">
        <v>777</v>
      </c>
      <c r="B10" s="4" t="s">
        <v>778</v>
      </c>
      <c r="C10" s="4" t="s">
        <v>779</v>
      </c>
      <c r="D10" s="4" t="s">
        <v>780</v>
      </c>
      <c r="E10" s="4" t="s">
        <v>781</v>
      </c>
      <c r="F10" s="4" t="s">
        <v>782</v>
      </c>
      <c r="G10" s="4" t="s">
        <v>783</v>
      </c>
    </row>
    <row r="11" customFormat="false" ht="23.85" hidden="false" customHeight="false" outlineLevel="0" collapsed="false">
      <c r="A11" s="8" t="s">
        <v>784</v>
      </c>
      <c r="B11" s="4" t="s">
        <v>785</v>
      </c>
      <c r="C11" s="4" t="s">
        <v>786</v>
      </c>
      <c r="D11" s="4" t="s">
        <v>755</v>
      </c>
      <c r="E11" s="4" t="s">
        <v>787</v>
      </c>
      <c r="F11" s="4" t="s">
        <v>788</v>
      </c>
      <c r="G11" s="4" t="s">
        <v>789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2026-10-29T08:24:11Z</dcterms:created>
  <dc:creator>openpyxl</dc:creator>
  <dc:description/>
  <dc:language>en-US</dc:language>
  <cp:lastModifiedBy/>
  <dcterms:modified xsi:type="dcterms:W3CDTF">2026-10-29T08:24:13Z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